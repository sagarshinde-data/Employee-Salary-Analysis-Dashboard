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0effb845220cc77/Desktop/Excel/"/>
    </mc:Choice>
  </mc:AlternateContent>
  <xr:revisionPtr revIDLastSave="2029" documentId="8_{5CF0D40C-F534-4A1A-BD82-33BA75F60A57}" xr6:coauthVersionLast="47" xr6:coauthVersionMax="47" xr10:uidLastSave="{1A831C35-80DE-4082-91D6-35768C6CA697}"/>
  <bookViews>
    <workbookView xWindow="-108" yWindow="-108" windowWidth="23256" windowHeight="12456" activeTab="2" xr2:uid="{549938C6-0689-49A3-8A98-9F6C3EE6AC0F}"/>
  </bookViews>
  <sheets>
    <sheet name="Employee Data " sheetId="1" r:id="rId1"/>
    <sheet name="Pivot Tables And Charts" sheetId="6" r:id="rId2"/>
    <sheet name="Dashboard" sheetId="8" r:id="rId3"/>
  </sheets>
  <definedNames>
    <definedName name="_xlnm._FilterDatabase" localSheetId="0" hidden="1">'Employee Data '!$A$1:$I$101</definedName>
    <definedName name="Slicer_City">#N/A</definedName>
    <definedName name="Slicer_Department">#N/A</definedName>
    <definedName name="Slicer_Experienc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6" l="1"/>
  <c r="W5" i="6"/>
  <c r="V5" i="6"/>
  <c r="U5" i="6"/>
  <c r="T5" i="6"/>
  <c r="P77" i="6"/>
  <c r="B42" i="6"/>
  <c r="B54" i="6"/>
  <c r="B40" i="6"/>
  <c r="B26" i="6"/>
  <c r="B12" i="6"/>
  <c r="S101" i="1"/>
  <c r="O101" i="1"/>
  <c r="T101" i="1" s="1"/>
  <c r="S100" i="1"/>
  <c r="O100" i="1"/>
  <c r="T100" i="1" s="1"/>
  <c r="S99" i="1"/>
  <c r="O99" i="1"/>
  <c r="T99" i="1" s="1"/>
  <c r="S98" i="1"/>
  <c r="O98" i="1"/>
  <c r="T98" i="1" s="1"/>
  <c r="S97" i="1"/>
  <c r="O97" i="1"/>
  <c r="T97" i="1" s="1"/>
  <c r="S96" i="1"/>
  <c r="O96" i="1"/>
  <c r="T96" i="1" s="1"/>
  <c r="S95" i="1"/>
  <c r="O95" i="1"/>
  <c r="T95" i="1" s="1"/>
  <c r="S94" i="1"/>
  <c r="O94" i="1"/>
  <c r="T94" i="1" s="1"/>
  <c r="S93" i="1"/>
  <c r="O93" i="1"/>
  <c r="T93" i="1" s="1"/>
  <c r="S92" i="1"/>
  <c r="O92" i="1"/>
  <c r="T92" i="1" s="1"/>
  <c r="S91" i="1"/>
  <c r="O91" i="1"/>
  <c r="T91" i="1" s="1"/>
  <c r="S90" i="1"/>
  <c r="O90" i="1"/>
  <c r="T90" i="1" s="1"/>
  <c r="S89" i="1"/>
  <c r="O89" i="1"/>
  <c r="T89" i="1" s="1"/>
  <c r="S88" i="1"/>
  <c r="O88" i="1"/>
  <c r="T88" i="1" s="1"/>
  <c r="S87" i="1"/>
  <c r="O87" i="1"/>
  <c r="T87" i="1" s="1"/>
  <c r="S86" i="1"/>
  <c r="O86" i="1"/>
  <c r="T86" i="1" s="1"/>
  <c r="S85" i="1"/>
  <c r="O85" i="1"/>
  <c r="T85" i="1" s="1"/>
  <c r="S84" i="1"/>
  <c r="O84" i="1"/>
  <c r="T84" i="1" s="1"/>
  <c r="S83" i="1"/>
  <c r="O83" i="1"/>
  <c r="T83" i="1" s="1"/>
  <c r="S82" i="1"/>
  <c r="O82" i="1"/>
  <c r="T82" i="1" s="1"/>
  <c r="S81" i="1"/>
  <c r="O81" i="1"/>
  <c r="T81" i="1" s="1"/>
  <c r="S80" i="1"/>
  <c r="O80" i="1"/>
  <c r="T80" i="1" s="1"/>
  <c r="S79" i="1"/>
  <c r="O79" i="1"/>
  <c r="T79" i="1" s="1"/>
  <c r="S78" i="1"/>
  <c r="O78" i="1"/>
  <c r="T78" i="1" s="1"/>
  <c r="S77" i="1"/>
  <c r="O77" i="1"/>
  <c r="T77" i="1" s="1"/>
  <c r="S76" i="1"/>
  <c r="O76" i="1"/>
  <c r="T76" i="1" s="1"/>
  <c r="S75" i="1"/>
  <c r="O75" i="1"/>
  <c r="T75" i="1" s="1"/>
  <c r="S74" i="1"/>
  <c r="O74" i="1"/>
  <c r="T74" i="1" s="1"/>
  <c r="S73" i="1"/>
  <c r="O73" i="1"/>
  <c r="T73" i="1" s="1"/>
  <c r="S72" i="1"/>
  <c r="O72" i="1"/>
  <c r="T72" i="1" s="1"/>
  <c r="S71" i="1"/>
  <c r="O71" i="1"/>
  <c r="T71" i="1" s="1"/>
  <c r="S70" i="1"/>
  <c r="O70" i="1"/>
  <c r="T70" i="1" s="1"/>
  <c r="S69" i="1"/>
  <c r="O69" i="1"/>
  <c r="T69" i="1" s="1"/>
  <c r="S68" i="1"/>
  <c r="O68" i="1"/>
  <c r="T68" i="1" s="1"/>
  <c r="S67" i="1"/>
  <c r="O67" i="1"/>
  <c r="T67" i="1" s="1"/>
  <c r="S66" i="1"/>
  <c r="O66" i="1"/>
  <c r="T66" i="1" s="1"/>
  <c r="S65" i="1"/>
  <c r="O65" i="1"/>
  <c r="T65" i="1" s="1"/>
  <c r="S64" i="1"/>
  <c r="O64" i="1"/>
  <c r="T64" i="1" s="1"/>
  <c r="S63" i="1"/>
  <c r="O63" i="1"/>
  <c r="T63" i="1" s="1"/>
  <c r="S62" i="1"/>
  <c r="O62" i="1"/>
  <c r="T62" i="1" s="1"/>
  <c r="S61" i="1"/>
  <c r="O61" i="1"/>
  <c r="T61" i="1" s="1"/>
  <c r="S60" i="1"/>
  <c r="O60" i="1"/>
  <c r="T60" i="1" s="1"/>
  <c r="S59" i="1"/>
  <c r="O59" i="1"/>
  <c r="T59" i="1" s="1"/>
  <c r="S58" i="1"/>
  <c r="O58" i="1"/>
  <c r="T58" i="1" s="1"/>
  <c r="S57" i="1"/>
  <c r="O57" i="1"/>
  <c r="T57" i="1" s="1"/>
  <c r="S56" i="1"/>
  <c r="O56" i="1"/>
  <c r="T56" i="1" s="1"/>
  <c r="S55" i="1"/>
  <c r="O55" i="1"/>
  <c r="T55" i="1" s="1"/>
  <c r="S54" i="1"/>
  <c r="O54" i="1"/>
  <c r="T54" i="1" s="1"/>
  <c r="S53" i="1"/>
  <c r="O53" i="1"/>
  <c r="T53" i="1" s="1"/>
  <c r="S52" i="1"/>
  <c r="O52" i="1"/>
  <c r="T52" i="1" s="1"/>
  <c r="S51" i="1"/>
  <c r="O51" i="1"/>
  <c r="T51" i="1" s="1"/>
  <c r="S50" i="1"/>
  <c r="O50" i="1"/>
  <c r="T50" i="1" s="1"/>
  <c r="S49" i="1"/>
  <c r="O49" i="1"/>
  <c r="T49" i="1" s="1"/>
  <c r="S48" i="1"/>
  <c r="O48" i="1"/>
  <c r="T48" i="1" s="1"/>
  <c r="S47" i="1"/>
  <c r="O47" i="1"/>
  <c r="T47" i="1" s="1"/>
  <c r="S46" i="1"/>
  <c r="O46" i="1"/>
  <c r="T46" i="1" s="1"/>
  <c r="S45" i="1"/>
  <c r="O45" i="1"/>
  <c r="T45" i="1" s="1"/>
  <c r="S44" i="1"/>
  <c r="O44" i="1"/>
  <c r="T44" i="1" s="1"/>
  <c r="S43" i="1"/>
  <c r="O43" i="1"/>
  <c r="T43" i="1" s="1"/>
  <c r="S42" i="1"/>
  <c r="O42" i="1"/>
  <c r="T42" i="1" s="1"/>
  <c r="T41" i="1"/>
  <c r="S41" i="1"/>
  <c r="O41" i="1"/>
  <c r="S40" i="1"/>
  <c r="O40" i="1"/>
  <c r="T40" i="1" s="1"/>
  <c r="S39" i="1"/>
  <c r="O39" i="1"/>
  <c r="T39" i="1" s="1"/>
  <c r="S38" i="1"/>
  <c r="O38" i="1"/>
  <c r="T38" i="1" s="1"/>
  <c r="S37" i="1"/>
  <c r="O37" i="1"/>
  <c r="T37" i="1" s="1"/>
  <c r="S36" i="1"/>
  <c r="O36" i="1"/>
  <c r="T36" i="1" s="1"/>
  <c r="S35" i="1"/>
  <c r="O35" i="1"/>
  <c r="T35" i="1" s="1"/>
  <c r="S34" i="1"/>
  <c r="O34" i="1"/>
  <c r="T34" i="1" s="1"/>
  <c r="S33" i="1"/>
  <c r="O33" i="1"/>
  <c r="T33" i="1" s="1"/>
  <c r="S32" i="1"/>
  <c r="O32" i="1"/>
  <c r="T32" i="1" s="1"/>
  <c r="S31" i="1"/>
  <c r="O31" i="1"/>
  <c r="T31" i="1" s="1"/>
  <c r="S30" i="1"/>
  <c r="O30" i="1"/>
  <c r="T30" i="1" s="1"/>
  <c r="S29" i="1"/>
  <c r="O29" i="1"/>
  <c r="T29" i="1" s="1"/>
  <c r="S28" i="1"/>
  <c r="O28" i="1"/>
  <c r="T28" i="1" s="1"/>
  <c r="S27" i="1"/>
  <c r="O27" i="1"/>
  <c r="T27" i="1" s="1"/>
  <c r="S26" i="1"/>
  <c r="O26" i="1"/>
  <c r="T26" i="1" s="1"/>
  <c r="S25" i="1"/>
  <c r="O25" i="1"/>
  <c r="T25" i="1" s="1"/>
  <c r="S24" i="1"/>
  <c r="O24" i="1"/>
  <c r="T24" i="1" s="1"/>
  <c r="S23" i="1"/>
  <c r="O23" i="1"/>
  <c r="T23" i="1" s="1"/>
  <c r="S22" i="1"/>
  <c r="O22" i="1"/>
  <c r="T22" i="1" s="1"/>
  <c r="T21" i="1"/>
  <c r="S21" i="1"/>
  <c r="O21" i="1"/>
  <c r="S20" i="1"/>
  <c r="O20" i="1"/>
  <c r="T20" i="1" s="1"/>
  <c r="S19" i="1"/>
  <c r="O19" i="1"/>
  <c r="T19" i="1" s="1"/>
  <c r="S18" i="1"/>
  <c r="O18" i="1"/>
  <c r="T18" i="1" s="1"/>
  <c r="S17" i="1"/>
  <c r="O17" i="1"/>
  <c r="T17" i="1" s="1"/>
  <c r="S16" i="1"/>
  <c r="O16" i="1"/>
  <c r="T16" i="1" s="1"/>
  <c r="S15" i="1"/>
  <c r="O15" i="1"/>
  <c r="T15" i="1" s="1"/>
  <c r="S14" i="1"/>
  <c r="O14" i="1"/>
  <c r="T14" i="1" s="1"/>
  <c r="S13" i="1"/>
  <c r="O13" i="1"/>
  <c r="T13" i="1" s="1"/>
  <c r="S12" i="1"/>
  <c r="O12" i="1"/>
  <c r="T12" i="1" s="1"/>
  <c r="S11" i="1"/>
  <c r="O11" i="1"/>
  <c r="T11" i="1" s="1"/>
  <c r="S10" i="1"/>
  <c r="O10" i="1"/>
  <c r="T10" i="1" s="1"/>
  <c r="S9" i="1"/>
  <c r="O9" i="1"/>
  <c r="T9" i="1" s="1"/>
  <c r="S8" i="1"/>
  <c r="O8" i="1"/>
  <c r="T8" i="1" s="1"/>
  <c r="S7" i="1"/>
  <c r="O7" i="1"/>
  <c r="T7" i="1" s="1"/>
  <c r="S6" i="1"/>
  <c r="O6" i="1"/>
  <c r="T6" i="1" s="1"/>
  <c r="S5" i="1"/>
  <c r="O5" i="1"/>
  <c r="T5" i="1" s="1"/>
  <c r="S4" i="1"/>
  <c r="O4" i="1"/>
  <c r="T4" i="1" s="1"/>
  <c r="S3" i="1"/>
  <c r="O3" i="1"/>
  <c r="T3" i="1" s="1"/>
  <c r="T2" i="1"/>
  <c r="S2" i="1"/>
  <c r="O2"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I3" i="1"/>
  <c r="I4" i="1"/>
  <c r="I5" i="1"/>
  <c r="I6" i="1"/>
  <c r="I7" i="1"/>
  <c r="I8" i="1"/>
  <c r="I9" i="1"/>
  <c r="I10" i="1"/>
  <c r="I11" i="1"/>
  <c r="I12" i="1"/>
  <c r="I13" i="1"/>
  <c r="I14" i="1"/>
  <c r="I15" i="1"/>
  <c r="I16" i="1"/>
  <c r="I17" i="1"/>
  <c r="I18" i="1"/>
  <c r="I19" i="1"/>
  <c r="I20" i="1"/>
  <c r="I21" i="1"/>
  <c r="I22" i="1"/>
  <c r="I23" i="1"/>
  <c r="I24" i="1"/>
  <c r="I25" i="1"/>
  <c r="I26" i="1"/>
</calcChain>
</file>

<file path=xl/sharedStrings.xml><?xml version="1.0" encoding="utf-8"?>
<sst xmlns="http://schemas.openxmlformats.org/spreadsheetml/2006/main" count="806" uniqueCount="314">
  <si>
    <t>Employee ID</t>
  </si>
  <si>
    <t>Employee Name</t>
  </si>
  <si>
    <t>Gender</t>
  </si>
  <si>
    <t>Department</t>
  </si>
  <si>
    <t>Designation</t>
  </si>
  <si>
    <t>Joining Date</t>
  </si>
  <si>
    <t>Employment Type</t>
  </si>
  <si>
    <t>City</t>
  </si>
  <si>
    <t>Basic Salary</t>
  </si>
  <si>
    <t>HRA</t>
  </si>
  <si>
    <t>DA</t>
  </si>
  <si>
    <t>Bonus</t>
  </si>
  <si>
    <t>Other Allowance</t>
  </si>
  <si>
    <t>Gross Salary</t>
  </si>
  <si>
    <t>PF</t>
  </si>
  <si>
    <t>Tax</t>
  </si>
  <si>
    <t>Other Deduction</t>
  </si>
  <si>
    <t>Total Deduction</t>
  </si>
  <si>
    <t>Net Salary</t>
  </si>
  <si>
    <t>Experience</t>
  </si>
  <si>
    <t>EMP001</t>
  </si>
  <si>
    <t>Rahul Patil</t>
  </si>
  <si>
    <t>Male</t>
  </si>
  <si>
    <t>IT</t>
  </si>
  <si>
    <t>Software Developer</t>
  </si>
  <si>
    <t>Full Time</t>
  </si>
  <si>
    <t>Pune</t>
  </si>
  <si>
    <t>EMP002</t>
  </si>
  <si>
    <t>Sneha Sharma</t>
  </si>
  <si>
    <t>Female</t>
  </si>
  <si>
    <t>HR</t>
  </si>
  <si>
    <t>HR Executive</t>
  </si>
  <si>
    <t>Mumbai</t>
  </si>
  <si>
    <t>EMP003</t>
  </si>
  <si>
    <t>Amit Shinde</t>
  </si>
  <si>
    <t>Finance</t>
  </si>
  <si>
    <t>Accountant</t>
  </si>
  <si>
    <t>Nashik</t>
  </si>
  <si>
    <t>EMP004</t>
  </si>
  <si>
    <t>Priya Joshi</t>
  </si>
  <si>
    <t>Marketing</t>
  </si>
  <si>
    <t>Marketing Executive</t>
  </si>
  <si>
    <t>EMP005</t>
  </si>
  <si>
    <t>Rohit More</t>
  </si>
  <si>
    <t>Software Engineer</t>
  </si>
  <si>
    <t>Nagpur</t>
  </si>
  <si>
    <t>EMP006</t>
  </si>
  <si>
    <t>Neha Kulkarni</t>
  </si>
  <si>
    <t>Sales</t>
  </si>
  <si>
    <t>Sales Executive</t>
  </si>
  <si>
    <t>Aurangabad</t>
  </si>
  <si>
    <t>EMP007</t>
  </si>
  <si>
    <t>Akash Pawar</t>
  </si>
  <si>
    <t>Admin</t>
  </si>
  <si>
    <t>Admin Officer</t>
  </si>
  <si>
    <t>EMP008</t>
  </si>
  <si>
    <t>Pooja Deshmukh</t>
  </si>
  <si>
    <t>Senior Accountant</t>
  </si>
  <si>
    <t>EMP009</t>
  </si>
  <si>
    <t>Sagar Jadhav</t>
  </si>
  <si>
    <t>Data Analyst</t>
  </si>
  <si>
    <t>EMP010</t>
  </si>
  <si>
    <t>Kavita Patil</t>
  </si>
  <si>
    <t>Recruiter</t>
  </si>
  <si>
    <t>EMP011</t>
  </si>
  <si>
    <t>Vikas Chavan</t>
  </si>
  <si>
    <t>Team Leader</t>
  </si>
  <si>
    <t>EMP012</t>
  </si>
  <si>
    <t>Swati Pawar</t>
  </si>
  <si>
    <t>Financial Analyst</t>
  </si>
  <si>
    <t>EMP013</t>
  </si>
  <si>
    <t>Manish Shinde</t>
  </si>
  <si>
    <t>Sales Manager</t>
  </si>
  <si>
    <t>EMP014</t>
  </si>
  <si>
    <t>Rutuja More</t>
  </si>
  <si>
    <t>Content Writer</t>
  </si>
  <si>
    <t>EMP015</t>
  </si>
  <si>
    <t>Nikhil Joshi</t>
  </si>
  <si>
    <t>Backend Developer</t>
  </si>
  <si>
    <t>EMP016</t>
  </si>
  <si>
    <t>Anjali Patil</t>
  </si>
  <si>
    <t>HR Manager</t>
  </si>
  <si>
    <t>EMP017</t>
  </si>
  <si>
    <t>Swapnil Pawar</t>
  </si>
  <si>
    <t>Office Manager</t>
  </si>
  <si>
    <t>EMP018</t>
  </si>
  <si>
    <t>Komal Jadhav</t>
  </si>
  <si>
    <t>EMP019</t>
  </si>
  <si>
    <t>Tejas Deshmukh</t>
  </si>
  <si>
    <t>Auditor</t>
  </si>
  <si>
    <t>EMP020</t>
  </si>
  <si>
    <t>Mayuri Shinde</t>
  </si>
  <si>
    <t>Frontend Developer</t>
  </si>
  <si>
    <t>EMP021</t>
  </si>
  <si>
    <t>Prasad More</t>
  </si>
  <si>
    <t>Marketing Manager</t>
  </si>
  <si>
    <t>EMP022</t>
  </si>
  <si>
    <t>Shreya Patil</t>
  </si>
  <si>
    <t>EMP023</t>
  </si>
  <si>
    <t>Omkar Kulkarni</t>
  </si>
  <si>
    <t>Cloud Engineer</t>
  </si>
  <si>
    <t>EMP024</t>
  </si>
  <si>
    <t>Deepali Pawar</t>
  </si>
  <si>
    <t>EMP025</t>
  </si>
  <si>
    <t>Akshay Shinde</t>
  </si>
  <si>
    <t>EMP026</t>
  </si>
  <si>
    <t>Riya Sharma</t>
  </si>
  <si>
    <t>Software Tester</t>
  </si>
  <si>
    <t>EMP027</t>
  </si>
  <si>
    <t>Kunal Patil</t>
  </si>
  <si>
    <t>Finance Executive</t>
  </si>
  <si>
    <t>EMP028</t>
  </si>
  <si>
    <t>Sonal More</t>
  </si>
  <si>
    <t>Digital Marketing Executive</t>
  </si>
  <si>
    <t>EMP029</t>
  </si>
  <si>
    <t>Ajay Pawar</t>
  </si>
  <si>
    <t>Admin Executive</t>
  </si>
  <si>
    <t>EMP030</t>
  </si>
  <si>
    <t>Pallavi Joshi</t>
  </si>
  <si>
    <t>Sales Coordinator</t>
  </si>
  <si>
    <t>EMP031</t>
  </si>
  <si>
    <t>Rajesh Deshmukh</t>
  </si>
  <si>
    <t>System Administrator</t>
  </si>
  <si>
    <t>EMP032</t>
  </si>
  <si>
    <t>Manisha Kulkarni</t>
  </si>
  <si>
    <t>Training Executive</t>
  </si>
  <si>
    <t>EMP033</t>
  </si>
  <si>
    <t>Abhishek More</t>
  </si>
  <si>
    <t>Finance Manager</t>
  </si>
  <si>
    <t>EMP034</t>
  </si>
  <si>
    <t>Swara Patil</t>
  </si>
  <si>
    <t>SEO Executive</t>
  </si>
  <si>
    <t>EMP035</t>
  </si>
  <si>
    <t>Mahesh Shinde</t>
  </si>
  <si>
    <t>EMP036</t>
  </si>
  <si>
    <t>Shital Pawar</t>
  </si>
  <si>
    <t>UI Designer</t>
  </si>
  <si>
    <t>EMP037</t>
  </si>
  <si>
    <t>Sachin Jadhav</t>
  </si>
  <si>
    <t>Operations Executive</t>
  </si>
  <si>
    <t>EMP038</t>
  </si>
  <si>
    <t>Monika Sharma</t>
  </si>
  <si>
    <t>EMP039</t>
  </si>
  <si>
    <t>Rohan Patil</t>
  </si>
  <si>
    <t>DevOps Engineer</t>
  </si>
  <si>
    <t>EMP040</t>
  </si>
  <si>
    <t>Aarti More</t>
  </si>
  <si>
    <t>EMP041</t>
  </si>
  <si>
    <t>Vinay Pawar</t>
  </si>
  <si>
    <t>HR Assistant</t>
  </si>
  <si>
    <t>EMP042</t>
  </si>
  <si>
    <t>Smita Joshi</t>
  </si>
  <si>
    <t>Brand Executive</t>
  </si>
  <si>
    <t>EMP043</t>
  </si>
  <si>
    <t>Pratik Deshmukh</t>
  </si>
  <si>
    <t>EMP044</t>
  </si>
  <si>
    <t>Swati More</t>
  </si>
  <si>
    <t>EMP045</t>
  </si>
  <si>
    <t>Nilesh Patil</t>
  </si>
  <si>
    <t>Business Development Executive</t>
  </si>
  <si>
    <t>EMP046</t>
  </si>
  <si>
    <t>Poonam Shinde</t>
  </si>
  <si>
    <t>Receptionist</t>
  </si>
  <si>
    <t>EMP047</t>
  </si>
  <si>
    <t>Shubham Pawar</t>
  </si>
  <si>
    <t>Full Stack Developer</t>
  </si>
  <si>
    <t>EMP048</t>
  </si>
  <si>
    <t>Rekha Kulkarni</t>
  </si>
  <si>
    <t>EMP049</t>
  </si>
  <si>
    <t>Manoj Jadhav</t>
  </si>
  <si>
    <t>EMP050</t>
  </si>
  <si>
    <t>Ankita Sharma</t>
  </si>
  <si>
    <t>EMP051</t>
  </si>
  <si>
    <t>Ganesh Patil</t>
  </si>
  <si>
    <t>EMP052</t>
  </si>
  <si>
    <t>Madhuri More</t>
  </si>
  <si>
    <t>EMP053</t>
  </si>
  <si>
    <t>Sunil Pawar</t>
  </si>
  <si>
    <t>EMP054</t>
  </si>
  <si>
    <t>Radhika Joshi</t>
  </si>
  <si>
    <t>EMP055</t>
  </si>
  <si>
    <t>Deepak Shinde</t>
  </si>
  <si>
    <t>Network Engineer</t>
  </si>
  <si>
    <t>EMP056</t>
  </si>
  <si>
    <t>Varsha Patil</t>
  </si>
  <si>
    <t>EMP057</t>
  </si>
  <si>
    <t>Sandeep More</t>
  </si>
  <si>
    <t>EMP058</t>
  </si>
  <si>
    <t>Minal Pawar</t>
  </si>
  <si>
    <t>Social Media Executive</t>
  </si>
  <si>
    <t>EMP059</t>
  </si>
  <si>
    <t>Amol Deshmukh</t>
  </si>
  <si>
    <t>EMP060</t>
  </si>
  <si>
    <t>Sonali Patil</t>
  </si>
  <si>
    <t>QA Engineer</t>
  </si>
  <si>
    <t>EMP061</t>
  </si>
  <si>
    <t>Vishal Shinde</t>
  </si>
  <si>
    <t>Office Assistant</t>
  </si>
  <si>
    <t>EMP062</t>
  </si>
  <si>
    <t>Manasi Kulkarni</t>
  </si>
  <si>
    <t>EMP063</t>
  </si>
  <si>
    <t>Pravin More</t>
  </si>
  <si>
    <t>Database Administrator</t>
  </si>
  <si>
    <t>EMP064</t>
  </si>
  <si>
    <t>Tejal Pawar</t>
  </si>
  <si>
    <t>EMP065</t>
  </si>
  <si>
    <t>Suresh Jadhav</t>
  </si>
  <si>
    <t>EMP066</t>
  </si>
  <si>
    <t>Neha Sharma</t>
  </si>
  <si>
    <t>EMP067</t>
  </si>
  <si>
    <t>Yogesh Patil</t>
  </si>
  <si>
    <t>Senior Developer</t>
  </si>
  <si>
    <t>EMP068</t>
  </si>
  <si>
    <t>Ashwini More</t>
  </si>
  <si>
    <t>EMP069</t>
  </si>
  <si>
    <t>Mukesh Pawar</t>
  </si>
  <si>
    <t>Operations Manager</t>
  </si>
  <si>
    <t>EMP070</t>
  </si>
  <si>
    <t>Shubhangi Patil</t>
  </si>
  <si>
    <t>EMP071</t>
  </si>
  <si>
    <t>Ramesh Shinde</t>
  </si>
  <si>
    <t>Technical Lead</t>
  </si>
  <si>
    <t>EMP072</t>
  </si>
  <si>
    <t>Prachi Joshi</t>
  </si>
  <si>
    <t>EMP073</t>
  </si>
  <si>
    <t>Mahendra More</t>
  </si>
  <si>
    <t>Business Development Manager</t>
  </si>
  <si>
    <t>EMP074</t>
  </si>
  <si>
    <t>Rashmi Pawar</t>
  </si>
  <si>
    <t>Content Manager</t>
  </si>
  <si>
    <t>EMP075</t>
  </si>
  <si>
    <t>Santosh Jadhav</t>
  </si>
  <si>
    <t>EMP076</t>
  </si>
  <si>
    <t>Snehal Patil</t>
  </si>
  <si>
    <t>EMP077</t>
  </si>
  <si>
    <t>Rajendra Shinde</t>
  </si>
  <si>
    <t>Admin Manager</t>
  </si>
  <si>
    <t>EMP078</t>
  </si>
  <si>
    <t>Monali More</t>
  </si>
  <si>
    <t>EMP079</t>
  </si>
  <si>
    <t>Hemant Pawar</t>
  </si>
  <si>
    <t>EMP080</t>
  </si>
  <si>
    <t>Archana Kulkarni</t>
  </si>
  <si>
    <t>EMP081</t>
  </si>
  <si>
    <t>Milind Deshmukh</t>
  </si>
  <si>
    <t>Senior Software Engineer</t>
  </si>
  <si>
    <t>EMP082</t>
  </si>
  <si>
    <t>Shweta Patil</t>
  </si>
  <si>
    <t>EMP083</t>
  </si>
  <si>
    <t>Nitin Shinde</t>
  </si>
  <si>
    <t>EMP084</t>
  </si>
  <si>
    <t>Sakshi More</t>
  </si>
  <si>
    <t>EMP085</t>
  </si>
  <si>
    <t>Prakash Pawar</t>
  </si>
  <si>
    <t>EMP086</t>
  </si>
  <si>
    <t>Shilpa Joshi</t>
  </si>
  <si>
    <t>Data Scientist</t>
  </si>
  <si>
    <t>EMP087</t>
  </si>
  <si>
    <t>Mahesh Patil</t>
  </si>
  <si>
    <t>EMP088</t>
  </si>
  <si>
    <t>Reena Shinde</t>
  </si>
  <si>
    <t>EMP089</t>
  </si>
  <si>
    <t>Vijay More</t>
  </si>
  <si>
    <t>EMP090</t>
  </si>
  <si>
    <t>Shubhada Pawar</t>
  </si>
  <si>
    <t>EMP091</t>
  </si>
  <si>
    <t>Rahul Deshmukh</t>
  </si>
  <si>
    <t>Project Manager</t>
  </si>
  <si>
    <t>EMP092</t>
  </si>
  <si>
    <t>Teena Patil</t>
  </si>
  <si>
    <t>EMP093</t>
  </si>
  <si>
    <t>Anand Shinde</t>
  </si>
  <si>
    <t>EMP094</t>
  </si>
  <si>
    <t>Manisha More</t>
  </si>
  <si>
    <t>EMP095</t>
  </si>
  <si>
    <t>Shailesh Pawar</t>
  </si>
  <si>
    <t>Cloud Architect</t>
  </si>
  <si>
    <t>EMP096</t>
  </si>
  <si>
    <t>Rekha Patil</t>
  </si>
  <si>
    <t>Recruitment Manager</t>
  </si>
  <si>
    <t>EMP097</t>
  </si>
  <si>
    <t>Dinesh Shinde</t>
  </si>
  <si>
    <t>EMP098</t>
  </si>
  <si>
    <t>Komal Pawar</t>
  </si>
  <si>
    <t>EMP099</t>
  </si>
  <si>
    <t>Ramesh More</t>
  </si>
  <si>
    <t>Solution Architect</t>
  </si>
  <si>
    <t>EMP100</t>
  </si>
  <si>
    <t>Priyanka Deshmukh</t>
  </si>
  <si>
    <t>Row Labels</t>
  </si>
  <si>
    <t>Grand Total</t>
  </si>
  <si>
    <t>Count of Employee ID</t>
  </si>
  <si>
    <t>Sum of Gross Salary</t>
  </si>
  <si>
    <t>Sum of Net Salary</t>
  </si>
  <si>
    <t>Average of Gross Salary</t>
  </si>
  <si>
    <t>Department Net Salary</t>
  </si>
  <si>
    <t>Department  Wise Average Salary</t>
  </si>
  <si>
    <t>Gender Wise Employee Count</t>
  </si>
  <si>
    <t>City Wise Employee Count</t>
  </si>
  <si>
    <t>City Wise Net Salary</t>
  </si>
  <si>
    <t>Average of Net Salary</t>
  </si>
  <si>
    <t>Experience-wise Average Net Salary</t>
  </si>
  <si>
    <t>Sum of Total Deduction</t>
  </si>
  <si>
    <t>Department Wise GrossSalary</t>
  </si>
  <si>
    <t>Department Wise EmployeeCount</t>
  </si>
  <si>
    <t>KPI Card</t>
  </si>
  <si>
    <t>Pivot Chart</t>
  </si>
  <si>
    <t>Pivot Tables</t>
  </si>
  <si>
    <t>After preparing the data, I created Pivot Tables to summarize the information</t>
  </si>
  <si>
    <t>Total Employees</t>
  </si>
  <si>
    <t>Total Gross Salary</t>
  </si>
  <si>
    <t>Total Net Salary</t>
  </si>
  <si>
    <t>Average Net Salary</t>
  </si>
  <si>
    <t>I created KPI cards to show the important numbers of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</si>
</sst>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4">
    <font>
      <sz val="11"/>
      <color theme="1"/>
      <name val="Aptos Narrow"/>
      <family val="2"/>
      <scheme val="minor"/>
    </font>
    <font>
      <b/>
      <sz val="11"/>
      <color theme="1"/>
      <name val="Aptos Narrow"/>
      <family val="2"/>
      <scheme val="minor"/>
    </font>
    <font>
      <sz val="10"/>
      <color theme="1"/>
      <name val="Arial Unicode MS"/>
    </font>
    <font>
      <sz val="11"/>
      <color theme="1"/>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2" tint="-0.89999084444715716"/>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2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 fillId="0" borderId="0" xfId="0" applyFont="1" applyAlignment="1">
      <alignment horizontal="center" vertical="center"/>
    </xf>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164" fontId="0" fillId="0" borderId="0" xfId="1" applyNumberFormat="1" applyFont="1"/>
    <xf numFmtId="0" fontId="0" fillId="2" borderId="0" xfId="0" applyFill="1"/>
    <xf numFmtId="0" fontId="0" fillId="0" borderId="1" xfId="0" applyBorder="1" applyAlignment="1">
      <alignment horizontal="center" vertical="center"/>
    </xf>
    <xf numFmtId="0" fontId="0" fillId="0" borderId="0" xfId="0" applyAlignment="1">
      <alignment horizontal="center"/>
    </xf>
    <xf numFmtId="0" fontId="0" fillId="4" borderId="0" xfId="0" applyFill="1" applyAlignment="1">
      <alignment horizontal="center"/>
    </xf>
    <xf numFmtId="164" fontId="0" fillId="0" borderId="0" xfId="0" applyNumberFormat="1" applyAlignment="1">
      <alignment horizontal="center"/>
    </xf>
    <xf numFmtId="0" fontId="0" fillId="5" borderId="0" xfId="0" applyFill="1" applyAlignment="1">
      <alignment horizontal="center"/>
    </xf>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2" fillId="2" borderId="0" xfId="0" applyFont="1" applyFill="1" applyAlignment="1">
      <alignment horizontal="left"/>
    </xf>
  </cellXfs>
  <cellStyles count="2">
    <cellStyle name="Currency" xfId="1" builtinId="4"/>
    <cellStyle name="Normal" xfId="0" builtinId="0"/>
  </cellStyles>
  <dxfs count="29">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Department wise Employee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And Charts'!$B$4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Charts'!$A$5:$A$11</c:f>
              <c:strCache>
                <c:ptCount val="6"/>
                <c:pt idx="0">
                  <c:v>Admin</c:v>
                </c:pt>
                <c:pt idx="1">
                  <c:v>Finance</c:v>
                </c:pt>
                <c:pt idx="2">
                  <c:v>HR</c:v>
                </c:pt>
                <c:pt idx="3">
                  <c:v>IT</c:v>
                </c:pt>
                <c:pt idx="4">
                  <c:v>Marketing</c:v>
                </c:pt>
                <c:pt idx="5">
                  <c:v>Sales</c:v>
                </c:pt>
              </c:strCache>
            </c:strRef>
          </c:cat>
          <c:val>
            <c:numRef>
              <c:f>'Pivot Tables And Charts'!$B$5:$B$11</c:f>
              <c:numCache>
                <c:formatCode>General</c:formatCode>
                <c:ptCount val="6"/>
                <c:pt idx="0">
                  <c:v>11</c:v>
                </c:pt>
                <c:pt idx="1">
                  <c:v>20</c:v>
                </c:pt>
                <c:pt idx="2">
                  <c:v>13</c:v>
                </c:pt>
                <c:pt idx="3">
                  <c:v>25</c:v>
                </c:pt>
                <c:pt idx="4">
                  <c:v>13</c:v>
                </c:pt>
                <c:pt idx="5">
                  <c:v>18</c:v>
                </c:pt>
              </c:numCache>
            </c:numRef>
          </c:val>
          <c:extLst>
            <c:ext xmlns:c16="http://schemas.microsoft.com/office/drawing/2014/chart" uri="{C3380CC4-5D6E-409C-BE32-E72D297353CC}">
              <c16:uniqueId val="{00000000-D379-4C3B-BD4D-D022272812A0}"/>
            </c:ext>
          </c:extLst>
        </c:ser>
        <c:dLbls>
          <c:showLegendKey val="0"/>
          <c:showVal val="1"/>
          <c:showCatName val="0"/>
          <c:showSerName val="0"/>
          <c:showPercent val="0"/>
          <c:showBubbleSize val="0"/>
        </c:dLbls>
        <c:gapWidth val="150"/>
        <c:shape val="box"/>
        <c:axId val="27490000"/>
        <c:axId val="1911396112"/>
        <c:axId val="0"/>
      </c:bar3DChart>
      <c:catAx>
        <c:axId val="2749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96112"/>
        <c:crosses val="autoZero"/>
        <c:auto val="1"/>
        <c:lblAlgn val="ctr"/>
        <c:lblOffset val="100"/>
        <c:noMultiLvlLbl val="0"/>
      </c:catAx>
      <c:valAx>
        <c:axId val="191139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Department wise Gross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And Charts'!$B$18</c:f>
              <c:strCache>
                <c:ptCount val="1"/>
                <c:pt idx="0">
                  <c:v>Total</c:v>
                </c:pt>
              </c:strCache>
            </c:strRef>
          </c:tx>
          <c:spPr>
            <a:solidFill>
              <a:schemeClr val="accent2"/>
            </a:solidFill>
            <a:ln>
              <a:noFill/>
            </a:ln>
            <a:effectLst/>
            <a:sp3d/>
          </c:spPr>
          <c:invertIfNegative val="0"/>
          <c:cat>
            <c:strRef>
              <c:f>'Pivot Tables And Charts'!$A$19:$A$25</c:f>
              <c:strCache>
                <c:ptCount val="6"/>
                <c:pt idx="0">
                  <c:v>Admin</c:v>
                </c:pt>
                <c:pt idx="1">
                  <c:v>Finance</c:v>
                </c:pt>
                <c:pt idx="2">
                  <c:v>HR</c:v>
                </c:pt>
                <c:pt idx="3">
                  <c:v>IT</c:v>
                </c:pt>
                <c:pt idx="4">
                  <c:v>Marketing</c:v>
                </c:pt>
                <c:pt idx="5">
                  <c:v>Sales</c:v>
                </c:pt>
              </c:strCache>
            </c:strRef>
          </c:cat>
          <c:val>
            <c:numRef>
              <c:f>'Pivot Tables And Charts'!$B$19:$B$25</c:f>
              <c:numCache>
                <c:formatCode>General</c:formatCode>
                <c:ptCount val="6"/>
                <c:pt idx="0">
                  <c:v>686000</c:v>
                </c:pt>
                <c:pt idx="1">
                  <c:v>1454400</c:v>
                </c:pt>
                <c:pt idx="2">
                  <c:v>828900</c:v>
                </c:pt>
                <c:pt idx="3">
                  <c:v>2105600</c:v>
                </c:pt>
                <c:pt idx="4">
                  <c:v>808900</c:v>
                </c:pt>
                <c:pt idx="5">
                  <c:v>1120200</c:v>
                </c:pt>
              </c:numCache>
            </c:numRef>
          </c:val>
          <c:extLst>
            <c:ext xmlns:c16="http://schemas.microsoft.com/office/drawing/2014/chart" uri="{C3380CC4-5D6E-409C-BE32-E72D297353CC}">
              <c16:uniqueId val="{00000000-E6C9-42FD-9716-4B01463E5FE8}"/>
            </c:ext>
          </c:extLst>
        </c:ser>
        <c:dLbls>
          <c:showLegendKey val="0"/>
          <c:showVal val="0"/>
          <c:showCatName val="0"/>
          <c:showSerName val="0"/>
          <c:showPercent val="0"/>
          <c:showBubbleSize val="0"/>
        </c:dLbls>
        <c:gapWidth val="150"/>
        <c:shape val="box"/>
        <c:axId val="194853008"/>
        <c:axId val="1911357712"/>
        <c:axId val="0"/>
      </c:bar3DChart>
      <c:catAx>
        <c:axId val="19485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57712"/>
        <c:crosses val="autoZero"/>
        <c:auto val="1"/>
        <c:lblAlgn val="ctr"/>
        <c:lblOffset val="100"/>
        <c:noMultiLvlLbl val="0"/>
      </c:catAx>
      <c:valAx>
        <c:axId val="191135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5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Department wise Net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Charts'!$B$32</c:f>
              <c:strCache>
                <c:ptCount val="1"/>
                <c:pt idx="0">
                  <c:v>Total</c:v>
                </c:pt>
              </c:strCache>
            </c:strRef>
          </c:tx>
          <c:spPr>
            <a:solidFill>
              <a:schemeClr val="accent1"/>
            </a:solidFill>
            <a:ln>
              <a:noFill/>
            </a:ln>
            <a:effectLst/>
          </c:spPr>
          <c:invertIfNegative val="0"/>
          <c:cat>
            <c:strRef>
              <c:f>'Pivot Tables And Charts'!$A$33:$A$39</c:f>
              <c:strCache>
                <c:ptCount val="6"/>
                <c:pt idx="0">
                  <c:v>Admin</c:v>
                </c:pt>
                <c:pt idx="1">
                  <c:v>Finance</c:v>
                </c:pt>
                <c:pt idx="2">
                  <c:v>HR</c:v>
                </c:pt>
                <c:pt idx="3">
                  <c:v>IT</c:v>
                </c:pt>
                <c:pt idx="4">
                  <c:v>Marketing</c:v>
                </c:pt>
                <c:pt idx="5">
                  <c:v>Sales</c:v>
                </c:pt>
              </c:strCache>
            </c:strRef>
          </c:cat>
          <c:val>
            <c:numRef>
              <c:f>'Pivot Tables And Charts'!$B$33:$B$39</c:f>
              <c:numCache>
                <c:formatCode>General</c:formatCode>
                <c:ptCount val="6"/>
                <c:pt idx="0">
                  <c:v>602850</c:v>
                </c:pt>
                <c:pt idx="1">
                  <c:v>1270150</c:v>
                </c:pt>
                <c:pt idx="2">
                  <c:v>727300</c:v>
                </c:pt>
                <c:pt idx="3">
                  <c:v>1829700</c:v>
                </c:pt>
                <c:pt idx="4">
                  <c:v>710500</c:v>
                </c:pt>
                <c:pt idx="5">
                  <c:v>983800</c:v>
                </c:pt>
              </c:numCache>
            </c:numRef>
          </c:val>
          <c:extLst>
            <c:ext xmlns:c16="http://schemas.microsoft.com/office/drawing/2014/chart" uri="{C3380CC4-5D6E-409C-BE32-E72D297353CC}">
              <c16:uniqueId val="{00000000-2650-401E-82DE-E6E3727566A2}"/>
            </c:ext>
          </c:extLst>
        </c:ser>
        <c:dLbls>
          <c:showLegendKey val="0"/>
          <c:showVal val="0"/>
          <c:showCatName val="0"/>
          <c:showSerName val="0"/>
          <c:showPercent val="0"/>
          <c:showBubbleSize val="0"/>
        </c:dLbls>
        <c:gapWidth val="219"/>
        <c:overlap val="-27"/>
        <c:axId val="197595904"/>
        <c:axId val="1911371632"/>
      </c:barChart>
      <c:catAx>
        <c:axId val="1975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71632"/>
        <c:crosses val="autoZero"/>
        <c:auto val="1"/>
        <c:lblAlgn val="ctr"/>
        <c:lblOffset val="100"/>
        <c:noMultiLvlLbl val="0"/>
      </c:catAx>
      <c:valAx>
        <c:axId val="191137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a:t>
            </a:r>
            <a:r>
              <a:rPr lang="en-US"/>
              <a:t>wise Average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Charts'!$B$46</c:f>
              <c:strCache>
                <c:ptCount val="1"/>
                <c:pt idx="0">
                  <c:v>Total</c:v>
                </c:pt>
              </c:strCache>
            </c:strRef>
          </c:tx>
          <c:spPr>
            <a:solidFill>
              <a:schemeClr val="accent1"/>
            </a:solidFill>
            <a:ln>
              <a:noFill/>
            </a:ln>
            <a:effectLst/>
          </c:spPr>
          <c:invertIfNegative val="0"/>
          <c:cat>
            <c:strRef>
              <c:f>'Pivot Tables And Charts'!$A$47:$A$53</c:f>
              <c:strCache>
                <c:ptCount val="6"/>
                <c:pt idx="0">
                  <c:v>Admin</c:v>
                </c:pt>
                <c:pt idx="1">
                  <c:v>Finance</c:v>
                </c:pt>
                <c:pt idx="2">
                  <c:v>HR</c:v>
                </c:pt>
                <c:pt idx="3">
                  <c:v>IT</c:v>
                </c:pt>
                <c:pt idx="4">
                  <c:v>Marketing</c:v>
                </c:pt>
                <c:pt idx="5">
                  <c:v>Sales</c:v>
                </c:pt>
              </c:strCache>
            </c:strRef>
          </c:cat>
          <c:val>
            <c:numRef>
              <c:f>'Pivot Tables And Charts'!$B$47:$B$53</c:f>
              <c:numCache>
                <c:formatCode>General</c:formatCode>
                <c:ptCount val="6"/>
                <c:pt idx="0">
                  <c:v>62363.63636363636</c:v>
                </c:pt>
                <c:pt idx="1">
                  <c:v>72720</c:v>
                </c:pt>
                <c:pt idx="2">
                  <c:v>63761.538461538461</c:v>
                </c:pt>
                <c:pt idx="3">
                  <c:v>84224</c:v>
                </c:pt>
                <c:pt idx="4">
                  <c:v>62223.076923076922</c:v>
                </c:pt>
                <c:pt idx="5">
                  <c:v>62233.333333333336</c:v>
                </c:pt>
              </c:numCache>
            </c:numRef>
          </c:val>
          <c:extLst>
            <c:ext xmlns:c16="http://schemas.microsoft.com/office/drawing/2014/chart" uri="{C3380CC4-5D6E-409C-BE32-E72D297353CC}">
              <c16:uniqueId val="{00000000-A98A-4FCB-8F6F-6D528D20D201}"/>
            </c:ext>
          </c:extLst>
        </c:ser>
        <c:dLbls>
          <c:showLegendKey val="0"/>
          <c:showVal val="0"/>
          <c:showCatName val="0"/>
          <c:showSerName val="0"/>
          <c:showPercent val="0"/>
          <c:showBubbleSize val="0"/>
        </c:dLbls>
        <c:gapWidth val="182"/>
        <c:axId val="197606112"/>
        <c:axId val="1911329392"/>
      </c:barChart>
      <c:catAx>
        <c:axId val="19760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29392"/>
        <c:crosses val="autoZero"/>
        <c:auto val="1"/>
        <c:lblAlgn val="ctr"/>
        <c:lblOffset val="100"/>
        <c:noMultiLvlLbl val="0"/>
      </c:catAx>
      <c:valAx>
        <c:axId val="191132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0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 And Charts'!$B$60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B-464C-B60C-AC5602C6AD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B-464C-B60C-AC5602C6AD0C}"/>
              </c:ext>
            </c:extLst>
          </c:dPt>
          <c:cat>
            <c:strRef>
              <c:f>'Pivot Tables And Charts'!$A$61:$A$63</c:f>
              <c:strCache>
                <c:ptCount val="2"/>
                <c:pt idx="0">
                  <c:v>Female</c:v>
                </c:pt>
                <c:pt idx="1">
                  <c:v>Male</c:v>
                </c:pt>
              </c:strCache>
            </c:strRef>
          </c:cat>
          <c:val>
            <c:numRef>
              <c:f>'Pivot Tables And Charts'!$B$61:$B$63</c:f>
              <c:numCache>
                <c:formatCode>General</c:formatCode>
                <c:ptCount val="2"/>
                <c:pt idx="0">
                  <c:v>50</c:v>
                </c:pt>
                <c:pt idx="1">
                  <c:v>50</c:v>
                </c:pt>
              </c:numCache>
            </c:numRef>
          </c:val>
          <c:extLst>
            <c:ext xmlns:c16="http://schemas.microsoft.com/office/drawing/2014/chart" uri="{C3380CC4-5D6E-409C-BE32-E72D297353CC}">
              <c16:uniqueId val="{00000000-AA55-460D-99E6-DC2116C6DE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a:t>
            </a:r>
            <a:r>
              <a:rPr lang="en-IN"/>
              <a:t>wise Employee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 And Charts'!$B$70</c:f>
              <c:strCache>
                <c:ptCount val="1"/>
                <c:pt idx="0">
                  <c:v>Total</c:v>
                </c:pt>
              </c:strCache>
            </c:strRef>
          </c:tx>
          <c:spPr>
            <a:solidFill>
              <a:schemeClr val="accent1"/>
            </a:solidFill>
            <a:ln>
              <a:noFill/>
            </a:ln>
            <a:effectLst/>
            <a:sp3d/>
          </c:spPr>
          <c:invertIfNegative val="0"/>
          <c:cat>
            <c:strRef>
              <c:f>'Pivot Tables And Charts'!$A$71:$A$76</c:f>
              <c:strCache>
                <c:ptCount val="5"/>
                <c:pt idx="0">
                  <c:v>Aurangabad</c:v>
                </c:pt>
                <c:pt idx="1">
                  <c:v>Mumbai</c:v>
                </c:pt>
                <c:pt idx="2">
                  <c:v>Nagpur</c:v>
                </c:pt>
                <c:pt idx="3">
                  <c:v>Nashik</c:v>
                </c:pt>
                <c:pt idx="4">
                  <c:v>Pune</c:v>
                </c:pt>
              </c:strCache>
            </c:strRef>
          </c:cat>
          <c:val>
            <c:numRef>
              <c:f>'Pivot Tables And Charts'!$B$71:$B$76</c:f>
              <c:numCache>
                <c:formatCode>General</c:formatCode>
                <c:ptCount val="5"/>
                <c:pt idx="0">
                  <c:v>1</c:v>
                </c:pt>
                <c:pt idx="1">
                  <c:v>25</c:v>
                </c:pt>
                <c:pt idx="2">
                  <c:v>12</c:v>
                </c:pt>
                <c:pt idx="3">
                  <c:v>13</c:v>
                </c:pt>
                <c:pt idx="4">
                  <c:v>49</c:v>
                </c:pt>
              </c:numCache>
            </c:numRef>
          </c:val>
          <c:extLst>
            <c:ext xmlns:c16="http://schemas.microsoft.com/office/drawing/2014/chart" uri="{C3380CC4-5D6E-409C-BE32-E72D297353CC}">
              <c16:uniqueId val="{00000000-E76F-4649-A3B9-268D01F756B0}"/>
            </c:ext>
          </c:extLst>
        </c:ser>
        <c:dLbls>
          <c:showLegendKey val="0"/>
          <c:showVal val="0"/>
          <c:showCatName val="0"/>
          <c:showSerName val="0"/>
          <c:showPercent val="0"/>
          <c:showBubbleSize val="0"/>
        </c:dLbls>
        <c:gapWidth val="150"/>
        <c:shape val="box"/>
        <c:axId val="243152992"/>
        <c:axId val="1911437392"/>
        <c:axId val="0"/>
      </c:bar3DChart>
      <c:catAx>
        <c:axId val="24315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37392"/>
        <c:crosses val="autoZero"/>
        <c:auto val="1"/>
        <c:lblAlgn val="ctr"/>
        <c:lblOffset val="100"/>
        <c:noMultiLvlLbl val="0"/>
      </c:catAx>
      <c:valAx>
        <c:axId val="191143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a:t>
            </a:r>
            <a:r>
              <a:rPr lang="en-IN"/>
              <a:t>wise Net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Charts'!$B$83</c:f>
              <c:strCache>
                <c:ptCount val="1"/>
                <c:pt idx="0">
                  <c:v>Total</c:v>
                </c:pt>
              </c:strCache>
            </c:strRef>
          </c:tx>
          <c:spPr>
            <a:solidFill>
              <a:schemeClr val="accent1"/>
            </a:solidFill>
            <a:ln>
              <a:noFill/>
            </a:ln>
            <a:effectLst/>
            <a:sp3d/>
          </c:spPr>
          <c:invertIfNegative val="0"/>
          <c:cat>
            <c:strRef>
              <c:f>'Pivot Tables And Charts'!$A$84:$A$89</c:f>
              <c:strCache>
                <c:ptCount val="5"/>
                <c:pt idx="0">
                  <c:v>Aurangabad</c:v>
                </c:pt>
                <c:pt idx="1">
                  <c:v>Mumbai</c:v>
                </c:pt>
                <c:pt idx="2">
                  <c:v>Nagpur</c:v>
                </c:pt>
                <c:pt idx="3">
                  <c:v>Nashik</c:v>
                </c:pt>
                <c:pt idx="4">
                  <c:v>Pune</c:v>
                </c:pt>
              </c:strCache>
            </c:strRef>
          </c:cat>
          <c:val>
            <c:numRef>
              <c:f>'Pivot Tables And Charts'!$B$84:$B$89</c:f>
              <c:numCache>
                <c:formatCode>General</c:formatCode>
                <c:ptCount val="5"/>
                <c:pt idx="0">
                  <c:v>41800</c:v>
                </c:pt>
                <c:pt idx="1">
                  <c:v>1815300</c:v>
                </c:pt>
                <c:pt idx="2">
                  <c:v>873300</c:v>
                </c:pt>
                <c:pt idx="3">
                  <c:v>685150</c:v>
                </c:pt>
                <c:pt idx="4">
                  <c:v>2708750</c:v>
                </c:pt>
              </c:numCache>
            </c:numRef>
          </c:val>
          <c:extLst>
            <c:ext xmlns:c16="http://schemas.microsoft.com/office/drawing/2014/chart" uri="{C3380CC4-5D6E-409C-BE32-E72D297353CC}">
              <c16:uniqueId val="{00000000-BCEF-400A-A7EF-A867A6B5AD50}"/>
            </c:ext>
          </c:extLst>
        </c:ser>
        <c:dLbls>
          <c:showLegendKey val="0"/>
          <c:showVal val="0"/>
          <c:showCatName val="0"/>
          <c:showSerName val="0"/>
          <c:showPercent val="0"/>
          <c:showBubbleSize val="0"/>
        </c:dLbls>
        <c:gapWidth val="150"/>
        <c:shape val="box"/>
        <c:axId val="197426080"/>
        <c:axId val="255601296"/>
        <c:axId val="0"/>
      </c:bar3DChart>
      <c:catAx>
        <c:axId val="197426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01296"/>
        <c:crosses val="autoZero"/>
        <c:auto val="1"/>
        <c:lblAlgn val="ctr"/>
        <c:lblOffset val="100"/>
        <c:noMultiLvlLbl val="0"/>
      </c:catAx>
      <c:valAx>
        <c:axId val="2556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[Employee_Salary_Analysis.xlsx]Pivot Tables And Charts!PivotTable2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Experience wise Average Net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25865522018081066"/>
          <c:w val="0.69896019247594054"/>
          <c:h val="0.53811424613589964"/>
        </c:manualLayout>
      </c:layout>
      <c:lineChart>
        <c:grouping val="standard"/>
        <c:varyColors val="0"/>
        <c:ser>
          <c:idx val="0"/>
          <c:order val="0"/>
          <c:tx>
            <c:strRef>
              <c:f>'Pivot Tables And Charts'!$B$97</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 And Charts'!$A$98:$A$106</c:f>
              <c:strCache>
                <c:ptCount val="8"/>
                <c:pt idx="0">
                  <c:v>0</c:v>
                </c:pt>
                <c:pt idx="1">
                  <c:v>1</c:v>
                </c:pt>
                <c:pt idx="2">
                  <c:v>2</c:v>
                </c:pt>
                <c:pt idx="3">
                  <c:v>3</c:v>
                </c:pt>
                <c:pt idx="4">
                  <c:v>4</c:v>
                </c:pt>
                <c:pt idx="5">
                  <c:v>5</c:v>
                </c:pt>
                <c:pt idx="6">
                  <c:v>6</c:v>
                </c:pt>
                <c:pt idx="7">
                  <c:v>7</c:v>
                </c:pt>
              </c:strCache>
            </c:strRef>
          </c:cat>
          <c:val>
            <c:numRef>
              <c:f>'Pivot Tables And Charts'!$B$98:$B$106</c:f>
              <c:numCache>
                <c:formatCode>"₹"\ #,##0.00</c:formatCode>
                <c:ptCount val="8"/>
                <c:pt idx="0">
                  <c:v>46828.571428571428</c:v>
                </c:pt>
                <c:pt idx="1">
                  <c:v>49723.076923076922</c:v>
                </c:pt>
                <c:pt idx="2">
                  <c:v>53096.875</c:v>
                </c:pt>
                <c:pt idx="3">
                  <c:v>55468.75</c:v>
                </c:pt>
                <c:pt idx="4">
                  <c:v>59310.714285714283</c:v>
                </c:pt>
                <c:pt idx="5">
                  <c:v>68896.153846153844</c:v>
                </c:pt>
                <c:pt idx="6">
                  <c:v>75200</c:v>
                </c:pt>
                <c:pt idx="7">
                  <c:v>88681.25</c:v>
                </c:pt>
              </c:numCache>
            </c:numRef>
          </c:val>
          <c:smooth val="0"/>
          <c:extLst>
            <c:ext xmlns:c16="http://schemas.microsoft.com/office/drawing/2014/chart" uri="{C3380CC4-5D6E-409C-BE32-E72D297353CC}">
              <c16:uniqueId val="{00000000-1DBA-40DF-B83A-87C398A01CEC}"/>
            </c:ext>
          </c:extLst>
        </c:ser>
        <c:dLbls>
          <c:showLegendKey val="0"/>
          <c:showVal val="0"/>
          <c:showCatName val="0"/>
          <c:showSerName val="0"/>
          <c:showPercent val="0"/>
          <c:showBubbleSize val="0"/>
        </c:dLbls>
        <c:marker val="1"/>
        <c:smooth val="0"/>
        <c:axId val="2082825584"/>
        <c:axId val="1922305136"/>
      </c:lineChart>
      <c:catAx>
        <c:axId val="20828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05136"/>
        <c:crosses val="autoZero"/>
        <c:auto val="1"/>
        <c:lblAlgn val="ctr"/>
        <c:lblOffset val="100"/>
        <c:noMultiLvlLbl val="0"/>
      </c:catAx>
      <c:valAx>
        <c:axId val="192230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Charts!PivotTable1</c:name>
    <c:fmtId val="37"/>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IN">
                <a:solidFill>
                  <a:schemeClr val="accent1">
                    <a:lumMod val="60000"/>
                    <a:lumOff val="40000"/>
                  </a:schemeClr>
                </a:solidFill>
              </a:rPr>
              <a:t>Department wise Employee Count</a:t>
            </a: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117484167690048E-2"/>
          <c:y val="0.29953171614417756"/>
          <c:w val="0.70940035878542707"/>
          <c:h val="0.37087918358031335"/>
        </c:manualLayout>
      </c:layout>
      <c:bar3DChart>
        <c:barDir val="col"/>
        <c:grouping val="stacked"/>
        <c:varyColors val="0"/>
        <c:ser>
          <c:idx val="0"/>
          <c:order val="0"/>
          <c:tx>
            <c:strRef>
              <c:f>'Pivot Tables And Charts'!$B$4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Charts'!$A$5:$A$11</c:f>
              <c:strCache>
                <c:ptCount val="6"/>
                <c:pt idx="0">
                  <c:v>Admin</c:v>
                </c:pt>
                <c:pt idx="1">
                  <c:v>Finance</c:v>
                </c:pt>
                <c:pt idx="2">
                  <c:v>HR</c:v>
                </c:pt>
                <c:pt idx="3">
                  <c:v>IT</c:v>
                </c:pt>
                <c:pt idx="4">
                  <c:v>Marketing</c:v>
                </c:pt>
                <c:pt idx="5">
                  <c:v>Sales</c:v>
                </c:pt>
              </c:strCache>
            </c:strRef>
          </c:cat>
          <c:val>
            <c:numRef>
              <c:f>'Pivot Tables And Charts'!$B$5:$B$11</c:f>
              <c:numCache>
                <c:formatCode>General</c:formatCode>
                <c:ptCount val="6"/>
                <c:pt idx="0">
                  <c:v>11</c:v>
                </c:pt>
                <c:pt idx="1">
                  <c:v>20</c:v>
                </c:pt>
                <c:pt idx="2">
                  <c:v>13</c:v>
                </c:pt>
                <c:pt idx="3">
                  <c:v>25</c:v>
                </c:pt>
                <c:pt idx="4">
                  <c:v>13</c:v>
                </c:pt>
                <c:pt idx="5">
                  <c:v>18</c:v>
                </c:pt>
              </c:numCache>
            </c:numRef>
          </c:val>
          <c:extLst>
            <c:ext xmlns:c16="http://schemas.microsoft.com/office/drawing/2014/chart" uri="{C3380CC4-5D6E-409C-BE32-E72D297353CC}">
              <c16:uniqueId val="{00000000-97E0-44F9-BF47-DEA239A3F644}"/>
            </c:ext>
          </c:extLst>
        </c:ser>
        <c:dLbls>
          <c:showLegendKey val="0"/>
          <c:showVal val="1"/>
          <c:showCatName val="0"/>
          <c:showSerName val="0"/>
          <c:showPercent val="0"/>
          <c:showBubbleSize val="0"/>
        </c:dLbls>
        <c:gapWidth val="150"/>
        <c:shape val="box"/>
        <c:axId val="27490000"/>
        <c:axId val="1911396112"/>
        <c:axId val="0"/>
      </c:bar3DChart>
      <c:catAx>
        <c:axId val="2749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1396112"/>
        <c:crosses val="autoZero"/>
        <c:auto val="1"/>
        <c:lblAlgn val="ctr"/>
        <c:lblOffset val="100"/>
        <c:noMultiLvlLbl val="0"/>
      </c:catAx>
      <c:valAx>
        <c:axId val="191139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4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Charts!PivotTable3</c:name>
    <c:fmtId val="32"/>
  </c:pivotSource>
  <c:chart>
    <c:title>
      <c:tx>
        <c:rich>
          <a:bodyPr rot="0" spcFirstLastPara="1" vertOverflow="ellipsis" vert="horz" wrap="square" anchor="ctr" anchorCtr="1"/>
          <a:lstStyle/>
          <a:p>
            <a:pPr>
              <a:defRPr sz="1400" b="0" i="0" u="none" strike="noStrike" kern="1200" baseline="0">
                <a:solidFill>
                  <a:schemeClr val="accent1">
                    <a:lumMod val="60000"/>
                    <a:lumOff val="40000"/>
                  </a:schemeClr>
                </a:solidFill>
                <a:latin typeface="+mn-lt"/>
                <a:ea typeface="+mn-ea"/>
                <a:cs typeface="+mn-cs"/>
              </a:defRPr>
            </a:pPr>
            <a:r>
              <a:rPr lang="en-IN" sz="1400" b="0">
                <a:solidFill>
                  <a:schemeClr val="accent1">
                    <a:lumMod val="60000"/>
                    <a:lumOff val="40000"/>
                  </a:schemeClr>
                </a:solidFill>
              </a:rPr>
              <a:t>Department wise Gross Salary</a:t>
            </a:r>
            <a:endParaRPr lang="en-US" sz="1400" b="0">
              <a:solidFill>
                <a:schemeClr val="accent1">
                  <a:lumMod val="60000"/>
                  <a:lumOff val="40000"/>
                </a:schemeClr>
              </a:solidFill>
            </a:endParaRPr>
          </a:p>
        </c:rich>
      </c:tx>
      <c:layout>
        <c:manualLayout>
          <c:xMode val="edge"/>
          <c:yMode val="edge"/>
          <c:x val="0.18563391532580167"/>
          <c:y val="0.1311086114235720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And Charts'!$B$18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Charts'!$A$19:$A$25</c:f>
              <c:strCache>
                <c:ptCount val="6"/>
                <c:pt idx="0">
                  <c:v>Admin</c:v>
                </c:pt>
                <c:pt idx="1">
                  <c:v>Finance</c:v>
                </c:pt>
                <c:pt idx="2">
                  <c:v>HR</c:v>
                </c:pt>
                <c:pt idx="3">
                  <c:v>IT</c:v>
                </c:pt>
                <c:pt idx="4">
                  <c:v>Marketing</c:v>
                </c:pt>
                <c:pt idx="5">
                  <c:v>Sales</c:v>
                </c:pt>
              </c:strCache>
            </c:strRef>
          </c:cat>
          <c:val>
            <c:numRef>
              <c:f>'Pivot Tables And Charts'!$B$19:$B$25</c:f>
              <c:numCache>
                <c:formatCode>General</c:formatCode>
                <c:ptCount val="6"/>
                <c:pt idx="0">
                  <c:v>686000</c:v>
                </c:pt>
                <c:pt idx="1">
                  <c:v>1454400</c:v>
                </c:pt>
                <c:pt idx="2">
                  <c:v>828900</c:v>
                </c:pt>
                <c:pt idx="3">
                  <c:v>2105600</c:v>
                </c:pt>
                <c:pt idx="4">
                  <c:v>808900</c:v>
                </c:pt>
                <c:pt idx="5">
                  <c:v>1120200</c:v>
                </c:pt>
              </c:numCache>
            </c:numRef>
          </c:val>
          <c:extLst>
            <c:ext xmlns:c16="http://schemas.microsoft.com/office/drawing/2014/chart" uri="{C3380CC4-5D6E-409C-BE32-E72D297353CC}">
              <c16:uniqueId val="{00000000-6CEA-44E8-9099-40D9D887591F}"/>
            </c:ext>
          </c:extLst>
        </c:ser>
        <c:dLbls>
          <c:showLegendKey val="0"/>
          <c:showVal val="1"/>
          <c:showCatName val="0"/>
          <c:showSerName val="0"/>
          <c:showPercent val="0"/>
          <c:showBubbleSize val="0"/>
        </c:dLbls>
        <c:gapWidth val="150"/>
        <c:shape val="box"/>
        <c:axId val="194853008"/>
        <c:axId val="1911357712"/>
        <c:axId val="0"/>
      </c:bar3DChart>
      <c:catAx>
        <c:axId val="194853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1357712"/>
        <c:crosses val="autoZero"/>
        <c:auto val="1"/>
        <c:lblAlgn val="ctr"/>
        <c:lblOffset val="100"/>
        <c:noMultiLvlLbl val="0"/>
      </c:catAx>
      <c:valAx>
        <c:axId val="191135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85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Charts!PivotTable5</c:name>
    <c:fmtId val="9"/>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IN">
                <a:solidFill>
                  <a:schemeClr val="accent1">
                    <a:lumMod val="60000"/>
                    <a:lumOff val="40000"/>
                  </a:schemeClr>
                </a:solidFill>
              </a:rPr>
              <a:t>Department wise Net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Charts'!$B$32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Charts'!$A$33:$A$39</c:f>
              <c:strCache>
                <c:ptCount val="6"/>
                <c:pt idx="0">
                  <c:v>Admin</c:v>
                </c:pt>
                <c:pt idx="1">
                  <c:v>Finance</c:v>
                </c:pt>
                <c:pt idx="2">
                  <c:v>HR</c:v>
                </c:pt>
                <c:pt idx="3">
                  <c:v>IT</c:v>
                </c:pt>
                <c:pt idx="4">
                  <c:v>Marketing</c:v>
                </c:pt>
                <c:pt idx="5">
                  <c:v>Sales</c:v>
                </c:pt>
              </c:strCache>
            </c:strRef>
          </c:cat>
          <c:val>
            <c:numRef>
              <c:f>'Pivot Tables And Charts'!$B$33:$B$39</c:f>
              <c:numCache>
                <c:formatCode>General</c:formatCode>
                <c:ptCount val="6"/>
                <c:pt idx="0">
                  <c:v>602850</c:v>
                </c:pt>
                <c:pt idx="1">
                  <c:v>1270150</c:v>
                </c:pt>
                <c:pt idx="2">
                  <c:v>727300</c:v>
                </c:pt>
                <c:pt idx="3">
                  <c:v>1829700</c:v>
                </c:pt>
                <c:pt idx="4">
                  <c:v>710500</c:v>
                </c:pt>
                <c:pt idx="5">
                  <c:v>983800</c:v>
                </c:pt>
              </c:numCache>
            </c:numRef>
          </c:val>
          <c:extLst>
            <c:ext xmlns:c16="http://schemas.microsoft.com/office/drawing/2014/chart" uri="{C3380CC4-5D6E-409C-BE32-E72D297353CC}">
              <c16:uniqueId val="{00000000-8526-4085-91F6-6474362031AF}"/>
            </c:ext>
          </c:extLst>
        </c:ser>
        <c:dLbls>
          <c:dLblPos val="outEnd"/>
          <c:showLegendKey val="0"/>
          <c:showVal val="1"/>
          <c:showCatName val="0"/>
          <c:showSerName val="0"/>
          <c:showPercent val="0"/>
          <c:showBubbleSize val="0"/>
        </c:dLbls>
        <c:gapWidth val="219"/>
        <c:overlap val="-27"/>
        <c:axId val="197595904"/>
        <c:axId val="1911371632"/>
      </c:barChart>
      <c:catAx>
        <c:axId val="1975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1371632"/>
        <c:crosses val="autoZero"/>
        <c:auto val="1"/>
        <c:lblAlgn val="ctr"/>
        <c:lblOffset val="100"/>
        <c:noMultiLvlLbl val="0"/>
      </c:catAx>
      <c:valAx>
        <c:axId val="191137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5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[Employee_Salary_Analysis.xlsx]Pivot Tables And Charts!PivotTable6</c:name>
    <c:fmtId val="18"/>
  </c:pivotSource>
  <c:chart>
    <c:title>
      <c:tx>
        <c:rich>
          <a:bodyPr rot="0" spcFirstLastPara="1" vertOverflow="ellipsis" vert="horz" wrap="square" anchor="ctr" anchorCtr="1"/>
          <a:lstStyle/>
          <a:p>
            <a:pPr>
              <a:defRPr sz="1400" b="1" i="0" u="none" strike="noStrike" kern="1200" baseline="0">
                <a:ln>
                  <a:noFill/>
                </a:ln>
                <a:solidFill>
                  <a:schemeClr val="accent1">
                    <a:lumMod val="60000"/>
                    <a:lumOff val="40000"/>
                  </a:schemeClr>
                </a:solidFill>
                <a:latin typeface="+mn-lt"/>
                <a:ea typeface="+mn-ea"/>
                <a:cs typeface="+mn-cs"/>
              </a:defRPr>
            </a:pPr>
            <a:r>
              <a:rPr lang="en-US" sz="1400">
                <a:solidFill>
                  <a:schemeClr val="accent1">
                    <a:lumMod val="60000"/>
                    <a:lumOff val="40000"/>
                  </a:schemeClr>
                </a:solidFill>
              </a:rPr>
              <a:t>Department wise Average Salary</a:t>
            </a:r>
          </a:p>
        </c:rich>
      </c:tx>
      <c:layout>
        <c:manualLayout>
          <c:xMode val="edge"/>
          <c:yMode val="edge"/>
          <c:x val="0.13148979957050824"/>
          <c:y val="0.1385996105325544"/>
        </c:manualLayout>
      </c:layout>
      <c:overlay val="0"/>
      <c:spPr>
        <a:noFill/>
        <a:ln>
          <a:noFill/>
        </a:ln>
        <a:effectLst/>
      </c:spPr>
      <c:txPr>
        <a:bodyPr rot="0" spcFirstLastPara="1" vertOverflow="ellipsis" vert="horz" wrap="square" anchor="ctr" anchorCtr="1"/>
        <a:lstStyle/>
        <a:p>
          <a:pPr>
            <a:defRPr sz="1400" b="1" i="0" u="none" strike="noStrike" kern="1200" baseline="0">
              <a:ln>
                <a:noFill/>
              </a:ln>
              <a:solidFill>
                <a:schemeClr val="accent1">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80670230754784"/>
          <c:y val="0.29263186859707052"/>
          <c:w val="0.31886888596626073"/>
          <c:h val="0.58307636948607233"/>
        </c:manualLayout>
      </c:layout>
      <c:barChart>
        <c:barDir val="bar"/>
        <c:grouping val="clustered"/>
        <c:varyColors val="0"/>
        <c:ser>
          <c:idx val="0"/>
          <c:order val="0"/>
          <c:tx>
            <c:strRef>
              <c:f>'Pivot Tables And Charts'!$B$46</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Charts'!$A$47:$A$53</c:f>
              <c:strCache>
                <c:ptCount val="6"/>
                <c:pt idx="0">
                  <c:v>Admin</c:v>
                </c:pt>
                <c:pt idx="1">
                  <c:v>Finance</c:v>
                </c:pt>
                <c:pt idx="2">
                  <c:v>HR</c:v>
                </c:pt>
                <c:pt idx="3">
                  <c:v>IT</c:v>
                </c:pt>
                <c:pt idx="4">
                  <c:v>Marketing</c:v>
                </c:pt>
                <c:pt idx="5">
                  <c:v>Sales</c:v>
                </c:pt>
              </c:strCache>
            </c:strRef>
          </c:cat>
          <c:val>
            <c:numRef>
              <c:f>'Pivot Tables And Charts'!$B$47:$B$53</c:f>
              <c:numCache>
                <c:formatCode>General</c:formatCode>
                <c:ptCount val="6"/>
                <c:pt idx="0">
                  <c:v>62363.63636363636</c:v>
                </c:pt>
                <c:pt idx="1">
                  <c:v>72720</c:v>
                </c:pt>
                <c:pt idx="2">
                  <c:v>63761.538461538461</c:v>
                </c:pt>
                <c:pt idx="3">
                  <c:v>84224</c:v>
                </c:pt>
                <c:pt idx="4">
                  <c:v>62223.076923076922</c:v>
                </c:pt>
                <c:pt idx="5">
                  <c:v>62233.333333333336</c:v>
                </c:pt>
              </c:numCache>
            </c:numRef>
          </c:val>
          <c:extLst>
            <c:ext xmlns:c16="http://schemas.microsoft.com/office/drawing/2014/chart" uri="{C3380CC4-5D6E-409C-BE32-E72D297353CC}">
              <c16:uniqueId val="{00000000-4F46-4DBB-91AC-81A6D223A33A}"/>
            </c:ext>
          </c:extLst>
        </c:ser>
        <c:dLbls>
          <c:dLblPos val="inEnd"/>
          <c:showLegendKey val="0"/>
          <c:showVal val="1"/>
          <c:showCatName val="0"/>
          <c:showSerName val="0"/>
          <c:showPercent val="0"/>
          <c:showBubbleSize val="0"/>
        </c:dLbls>
        <c:gapWidth val="65"/>
        <c:axId val="197606112"/>
        <c:axId val="1911329392"/>
      </c:barChart>
      <c:catAx>
        <c:axId val="1976061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bg1"/>
                </a:solidFill>
                <a:latin typeface="+mn-lt"/>
                <a:ea typeface="+mn-ea"/>
                <a:cs typeface="+mn-cs"/>
              </a:defRPr>
            </a:pPr>
            <a:endParaRPr lang="en-US"/>
          </a:p>
        </c:txPr>
        <c:crossAx val="1911329392"/>
        <c:crosses val="autoZero"/>
        <c:auto val="1"/>
        <c:lblAlgn val="ctr"/>
        <c:lblOffset val="100"/>
        <c:noMultiLvlLbl val="0"/>
      </c:catAx>
      <c:valAx>
        <c:axId val="1911329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97606112"/>
        <c:crosses val="autoZero"/>
        <c:crossBetween val="between"/>
      </c:valAx>
      <c:spPr>
        <a:noFill/>
        <a:ln>
          <a:noFill/>
        </a:ln>
        <a:effectLst/>
      </c:spPr>
    </c:plotArea>
    <c:legend>
      <c:legendPos val="r"/>
      <c:layout>
        <c:manualLayout>
          <c:xMode val="edge"/>
          <c:yMode val="edge"/>
          <c:x val="0.80647071104748269"/>
          <c:y val="0.56936669206671742"/>
          <c:w val="0.14428686471009305"/>
          <c:h val="9.475869951739902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[Employee_Salary_Analysis.xlsx]Pivot Tables And Charts!PivotTable7</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b="0">
                <a:solidFill>
                  <a:schemeClr val="accent1">
                    <a:lumMod val="60000"/>
                    <a:lumOff val="40000"/>
                  </a:schemeClr>
                </a:solidFill>
              </a:rPr>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 And Charts'!$B$60</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F4A-46B5-99F3-7C090D86B492}"/>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F4A-46B5-99F3-7C090D86B4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And Charts'!$A$61:$A$63</c:f>
              <c:strCache>
                <c:ptCount val="2"/>
                <c:pt idx="0">
                  <c:v>Female</c:v>
                </c:pt>
                <c:pt idx="1">
                  <c:v>Male</c:v>
                </c:pt>
              </c:strCache>
            </c:strRef>
          </c:cat>
          <c:val>
            <c:numRef>
              <c:f>'Pivot Tables And Charts'!$B$61:$B$63</c:f>
              <c:numCache>
                <c:formatCode>General</c:formatCode>
                <c:ptCount val="2"/>
                <c:pt idx="0">
                  <c:v>50</c:v>
                </c:pt>
                <c:pt idx="1">
                  <c:v>50</c:v>
                </c:pt>
              </c:numCache>
            </c:numRef>
          </c:val>
          <c:extLst>
            <c:ext xmlns:c16="http://schemas.microsoft.com/office/drawing/2014/chart" uri="{C3380CC4-5D6E-409C-BE32-E72D297353CC}">
              <c16:uniqueId val="{00000004-6F4A-46B5-99F3-7C090D86B492}"/>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[Employee_Salary_Analysis.xlsx]Pivot Tables And Charts!PivotTable8</c:name>
    <c:fmtId val="11"/>
  </c:pivotSource>
  <c:chart>
    <c:title>
      <c:tx>
        <c:rich>
          <a:bodyPr rot="0" spcFirstLastPara="1" vertOverflow="ellipsis" vert="horz" wrap="square" anchor="ctr" anchorCtr="1"/>
          <a:lstStyle/>
          <a:p>
            <a:pPr>
              <a:defRPr sz="1400" b="0"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r>
              <a:rPr lang="en-IN" sz="1400" b="0">
                <a:solidFill>
                  <a:schemeClr val="accent1">
                    <a:lumMod val="60000"/>
                    <a:lumOff val="40000"/>
                  </a:schemeClr>
                </a:solidFill>
              </a:rPr>
              <a:t>City wise Employee Count</a:t>
            </a:r>
          </a:p>
        </c:rich>
      </c:tx>
      <c:overlay val="0"/>
      <c:spPr>
        <a:noFill/>
        <a:ln>
          <a:noFill/>
        </a:ln>
        <a:effectLst/>
      </c:spPr>
      <c:txPr>
        <a:bodyPr rot="0" spcFirstLastPara="1" vertOverflow="ellipsis" vert="horz" wrap="square" anchor="ctr" anchorCtr="1"/>
        <a:lstStyle/>
        <a:p>
          <a:pPr>
            <a:defRPr sz="1400" b="0"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 And Charts'!$B$70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And Charts'!$A$71:$A$76</c:f>
              <c:strCache>
                <c:ptCount val="5"/>
                <c:pt idx="0">
                  <c:v>Aurangabad</c:v>
                </c:pt>
                <c:pt idx="1">
                  <c:v>Mumbai</c:v>
                </c:pt>
                <c:pt idx="2">
                  <c:v>Nagpur</c:v>
                </c:pt>
                <c:pt idx="3">
                  <c:v>Nashik</c:v>
                </c:pt>
                <c:pt idx="4">
                  <c:v>Pune</c:v>
                </c:pt>
              </c:strCache>
            </c:strRef>
          </c:cat>
          <c:val>
            <c:numRef>
              <c:f>'Pivot Tables And Charts'!$B$71:$B$76</c:f>
              <c:numCache>
                <c:formatCode>General</c:formatCode>
                <c:ptCount val="5"/>
                <c:pt idx="0">
                  <c:v>1</c:v>
                </c:pt>
                <c:pt idx="1">
                  <c:v>25</c:v>
                </c:pt>
                <c:pt idx="2">
                  <c:v>12</c:v>
                </c:pt>
                <c:pt idx="3">
                  <c:v>13</c:v>
                </c:pt>
                <c:pt idx="4">
                  <c:v>49</c:v>
                </c:pt>
              </c:numCache>
            </c:numRef>
          </c:val>
          <c:extLst>
            <c:ext xmlns:c16="http://schemas.microsoft.com/office/drawing/2014/chart" uri="{C3380CC4-5D6E-409C-BE32-E72D297353CC}">
              <c16:uniqueId val="{00000000-4B2E-4027-B25F-FACFEFF5FC5D}"/>
            </c:ext>
          </c:extLst>
        </c:ser>
        <c:dLbls>
          <c:showLegendKey val="0"/>
          <c:showVal val="1"/>
          <c:showCatName val="0"/>
          <c:showSerName val="0"/>
          <c:showPercent val="0"/>
          <c:showBubbleSize val="0"/>
        </c:dLbls>
        <c:gapWidth val="150"/>
        <c:shape val="box"/>
        <c:axId val="243152992"/>
        <c:axId val="1911437392"/>
        <c:axId val="0"/>
      </c:bar3DChart>
      <c:catAx>
        <c:axId val="24315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437392"/>
        <c:crosses val="autoZero"/>
        <c:auto val="1"/>
        <c:lblAlgn val="ctr"/>
        <c:lblOffset val="100"/>
        <c:noMultiLvlLbl val="0"/>
      </c:catAx>
      <c:valAx>
        <c:axId val="19114373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1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[Employee_Salary_Analysis.xlsx]Pivot Tables And Charts!PivotTable9</c:name>
    <c:fmtId val="15"/>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IN">
                <a:solidFill>
                  <a:schemeClr val="accent1">
                    <a:lumMod val="60000"/>
                    <a:lumOff val="40000"/>
                  </a:schemeClr>
                </a:solidFill>
              </a:rPr>
              <a:t>City wise Net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Charts'!$B$83</c:f>
              <c:strCache>
                <c:ptCount val="1"/>
                <c:pt idx="0">
                  <c:v>Total</c:v>
                </c:pt>
              </c:strCache>
            </c:strRef>
          </c:tx>
          <c:spPr>
            <a:solidFill>
              <a:schemeClr val="accent6"/>
            </a:solidFill>
            <a:ln>
              <a:noFill/>
            </a:ln>
            <a:effectLst/>
            <a:sp3d/>
          </c:spPr>
          <c:invertIfNegative val="0"/>
          <c:cat>
            <c:strRef>
              <c:f>'Pivot Tables And Charts'!$A$84:$A$89</c:f>
              <c:strCache>
                <c:ptCount val="5"/>
                <c:pt idx="0">
                  <c:v>Aurangabad</c:v>
                </c:pt>
                <c:pt idx="1">
                  <c:v>Mumbai</c:v>
                </c:pt>
                <c:pt idx="2">
                  <c:v>Nagpur</c:v>
                </c:pt>
                <c:pt idx="3">
                  <c:v>Nashik</c:v>
                </c:pt>
                <c:pt idx="4">
                  <c:v>Pune</c:v>
                </c:pt>
              </c:strCache>
            </c:strRef>
          </c:cat>
          <c:val>
            <c:numRef>
              <c:f>'Pivot Tables And Charts'!$B$84:$B$89</c:f>
              <c:numCache>
                <c:formatCode>General</c:formatCode>
                <c:ptCount val="5"/>
                <c:pt idx="0">
                  <c:v>41800</c:v>
                </c:pt>
                <c:pt idx="1">
                  <c:v>1815300</c:v>
                </c:pt>
                <c:pt idx="2">
                  <c:v>873300</c:v>
                </c:pt>
                <c:pt idx="3">
                  <c:v>685150</c:v>
                </c:pt>
                <c:pt idx="4">
                  <c:v>2708750</c:v>
                </c:pt>
              </c:numCache>
            </c:numRef>
          </c:val>
          <c:extLst>
            <c:ext xmlns:c16="http://schemas.microsoft.com/office/drawing/2014/chart" uri="{C3380CC4-5D6E-409C-BE32-E72D297353CC}">
              <c16:uniqueId val="{00000000-132D-4338-9604-66C0CE61617A}"/>
            </c:ext>
          </c:extLst>
        </c:ser>
        <c:dLbls>
          <c:showLegendKey val="0"/>
          <c:showVal val="0"/>
          <c:showCatName val="0"/>
          <c:showSerName val="0"/>
          <c:showPercent val="0"/>
          <c:showBubbleSize val="0"/>
        </c:dLbls>
        <c:gapWidth val="150"/>
        <c:shape val="box"/>
        <c:axId val="197426080"/>
        <c:axId val="255601296"/>
        <c:axId val="0"/>
      </c:bar3DChart>
      <c:catAx>
        <c:axId val="197426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5601296"/>
        <c:crosses val="autoZero"/>
        <c:auto val="1"/>
        <c:lblAlgn val="ctr"/>
        <c:lblOffset val="100"/>
        <c:noMultiLvlLbl val="0"/>
      </c:catAx>
      <c:valAx>
        <c:axId val="2556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426080"/>
        <c:crosses val="autoZero"/>
        <c:crossBetween val="between"/>
      </c:valAx>
      <c:spPr>
        <a:noFill/>
        <a:ln>
          <a:noFill/>
        </a:ln>
        <a:effectLst/>
      </c:spPr>
    </c:plotArea>
    <c:legend>
      <c:legendPos val="r"/>
      <c:layout>
        <c:manualLayout>
          <c:xMode val="edge"/>
          <c:yMode val="edge"/>
          <c:x val="0.79178388906460684"/>
          <c:y val="0.52395269351942209"/>
          <c:w val="0.10955508204180607"/>
          <c:h val="9.97459994919989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[Employee_Salary_Analysis.xlsx]Pivot Tables And Charts!PivotTable2</c:name>
    <c:fmtId val="24"/>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IN">
                <a:solidFill>
                  <a:schemeClr val="accent1">
                    <a:lumMod val="60000"/>
                    <a:lumOff val="40000"/>
                  </a:schemeClr>
                </a:solidFill>
              </a:rPr>
              <a:t>Experience wise Average Net Salary</a:t>
            </a: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7.34606183076673E-2"/>
              <c:y val="0.11376564277588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0.13614498408937825"/>
              <c:y val="-0.108077360637087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7.34606183076673E-2"/>
              <c:y val="0.2275312855517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0.11033377464985025"/>
              <c:y val="-0.16496018202502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0.15826887789468794"/>
              <c:y val="0.170648464163822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9.5584512112977166E-2"/>
              <c:y val="0.10807736063708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0.18776740296843425"/>
              <c:y val="-7.9635949943117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2.401487701205491E-2"/>
              <c:y val="0.11376564277588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102953039961"/>
          <c:y val="0.25865520753123528"/>
          <c:w val="0.69896019247594054"/>
          <c:h val="0.53811424613589964"/>
        </c:manualLayout>
      </c:layout>
      <c:lineChart>
        <c:grouping val="standard"/>
        <c:varyColors val="0"/>
        <c:ser>
          <c:idx val="0"/>
          <c:order val="0"/>
          <c:tx>
            <c:strRef>
              <c:f>'Pivot Tables And Charts'!$B$97</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0"/>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0-78E5-45E7-ABF8-A0AA2799F770}"/>
              </c:ext>
            </c:extLst>
          </c:dPt>
          <c:dPt>
            <c:idx val="1"/>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1-78E5-45E7-ABF8-A0AA2799F770}"/>
              </c:ext>
            </c:extLst>
          </c:dPt>
          <c:dPt>
            <c:idx val="2"/>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2-78E5-45E7-ABF8-A0AA2799F770}"/>
              </c:ext>
            </c:extLst>
          </c:dPt>
          <c:dPt>
            <c:idx val="3"/>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3-78E5-45E7-ABF8-A0AA2799F770}"/>
              </c:ext>
            </c:extLst>
          </c:dPt>
          <c:dPt>
            <c:idx val="4"/>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4-78E5-45E7-ABF8-A0AA2799F770}"/>
              </c:ext>
            </c:extLst>
          </c:dPt>
          <c:dPt>
            <c:idx val="5"/>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5-78E5-45E7-ABF8-A0AA2799F770}"/>
              </c:ext>
            </c:extLst>
          </c:dPt>
          <c:dPt>
            <c:idx val="6"/>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6-78E5-45E7-ABF8-A0AA2799F770}"/>
              </c:ext>
            </c:extLst>
          </c:dPt>
          <c:dPt>
            <c:idx val="7"/>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7-78E5-45E7-ABF8-A0AA2799F770}"/>
              </c:ext>
            </c:extLst>
          </c:dPt>
          <c:dLbls>
            <c:dLbl>
              <c:idx val="0"/>
              <c:layout>
                <c:manualLayout>
                  <c:x val="-7.34606183076673E-2"/>
                  <c:y val="0.113765642775881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E5-45E7-ABF8-A0AA2799F770}"/>
                </c:ext>
              </c:extLst>
            </c:dLbl>
            <c:dLbl>
              <c:idx val="1"/>
              <c:layout>
                <c:manualLayout>
                  <c:x val="-0.13614498408937825"/>
                  <c:y val="-0.108077360637087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E5-45E7-ABF8-A0AA2799F770}"/>
                </c:ext>
              </c:extLst>
            </c:dLbl>
            <c:dLbl>
              <c:idx val="2"/>
              <c:layout>
                <c:manualLayout>
                  <c:x val="-7.34606183076673E-2"/>
                  <c:y val="0.227531285551763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E5-45E7-ABF8-A0AA2799F770}"/>
                </c:ext>
              </c:extLst>
            </c:dLbl>
            <c:dLbl>
              <c:idx val="3"/>
              <c:layout>
                <c:manualLayout>
                  <c:x val="-0.11033377464985025"/>
                  <c:y val="-0.164960182025028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E5-45E7-ABF8-A0AA2799F770}"/>
                </c:ext>
              </c:extLst>
            </c:dLbl>
            <c:dLbl>
              <c:idx val="4"/>
              <c:layout>
                <c:manualLayout>
                  <c:x val="-0.15826887789468794"/>
                  <c:y val="0.170648464163822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E5-45E7-ABF8-A0AA2799F770}"/>
                </c:ext>
              </c:extLst>
            </c:dLbl>
            <c:dLbl>
              <c:idx val="5"/>
              <c:layout>
                <c:manualLayout>
                  <c:x val="-9.5584512112977166E-2"/>
                  <c:y val="0.10807736063708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E5-45E7-ABF8-A0AA2799F770}"/>
                </c:ext>
              </c:extLst>
            </c:dLbl>
            <c:dLbl>
              <c:idx val="6"/>
              <c:layout>
                <c:manualLayout>
                  <c:x val="-0.18776740296843425"/>
                  <c:y val="-7.96359499431171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E5-45E7-ABF8-A0AA2799F770}"/>
                </c:ext>
              </c:extLst>
            </c:dLbl>
            <c:dLbl>
              <c:idx val="7"/>
              <c:layout>
                <c:manualLayout>
                  <c:x val="-2.401487701205491E-2"/>
                  <c:y val="0.113765642775881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E5-45E7-ABF8-A0AA2799F7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Charts'!$A$98:$A$106</c:f>
              <c:strCache>
                <c:ptCount val="8"/>
                <c:pt idx="0">
                  <c:v>0</c:v>
                </c:pt>
                <c:pt idx="1">
                  <c:v>1</c:v>
                </c:pt>
                <c:pt idx="2">
                  <c:v>2</c:v>
                </c:pt>
                <c:pt idx="3">
                  <c:v>3</c:v>
                </c:pt>
                <c:pt idx="4">
                  <c:v>4</c:v>
                </c:pt>
                <c:pt idx="5">
                  <c:v>5</c:v>
                </c:pt>
                <c:pt idx="6">
                  <c:v>6</c:v>
                </c:pt>
                <c:pt idx="7">
                  <c:v>7</c:v>
                </c:pt>
              </c:strCache>
            </c:strRef>
          </c:cat>
          <c:val>
            <c:numRef>
              <c:f>'Pivot Tables And Charts'!$B$98:$B$106</c:f>
              <c:numCache>
                <c:formatCode>"₹"\ #,##0.00</c:formatCode>
                <c:ptCount val="8"/>
                <c:pt idx="0">
                  <c:v>46828.571428571428</c:v>
                </c:pt>
                <c:pt idx="1">
                  <c:v>49723.076923076922</c:v>
                </c:pt>
                <c:pt idx="2">
                  <c:v>53096.875</c:v>
                </c:pt>
                <c:pt idx="3">
                  <c:v>55468.75</c:v>
                </c:pt>
                <c:pt idx="4">
                  <c:v>59310.714285714283</c:v>
                </c:pt>
                <c:pt idx="5">
                  <c:v>68896.153846153844</c:v>
                </c:pt>
                <c:pt idx="6">
                  <c:v>75200</c:v>
                </c:pt>
                <c:pt idx="7">
                  <c:v>88681.25</c:v>
                </c:pt>
              </c:numCache>
            </c:numRef>
          </c:val>
          <c:smooth val="0"/>
          <c:extLst>
            <c:ext xmlns:c16="http://schemas.microsoft.com/office/drawing/2014/chart" uri="{C3380CC4-5D6E-409C-BE32-E72D297353CC}">
              <c16:uniqueId val="{00000000-C199-4C9E-AB39-4E96FBF0F96D}"/>
            </c:ext>
          </c:extLst>
        </c:ser>
        <c:dLbls>
          <c:dLblPos val="ctr"/>
          <c:showLegendKey val="0"/>
          <c:showVal val="1"/>
          <c:showCatName val="0"/>
          <c:showSerName val="0"/>
          <c:showPercent val="0"/>
          <c:showBubbleSize val="0"/>
        </c:dLbls>
        <c:marker val="1"/>
        <c:smooth val="0"/>
        <c:axId val="2082825584"/>
        <c:axId val="1922305136"/>
      </c:lineChart>
      <c:catAx>
        <c:axId val="20828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2305136"/>
        <c:crosses val="autoZero"/>
        <c:auto val="1"/>
        <c:lblAlgn val="ctr"/>
        <c:lblOffset val="100"/>
        <c:noMultiLvlLbl val="0"/>
      </c:catAx>
      <c:valAx>
        <c:axId val="192230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28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594360</xdr:colOff>
      <xdr:row>4</xdr:row>
      <xdr:rowOff>15240</xdr:rowOff>
    </xdr:from>
    <xdr:to>
      <xdr:col>12</xdr:col>
      <xdr:colOff>0</xdr:colOff>
      <xdr:row>18</xdr:row>
      <xdr:rowOff>175260</xdr:rowOff>
    </xdr:to>
    <xdr:graphicFrame macro="">
      <xdr:nvGraphicFramePr>
        <xdr:cNvPr id="2" name="Chart 1">
          <a:extLst>
            <a:ext uri="{FF2B5EF4-FFF2-40B4-BE49-F238E27FC236}">
              <a16:creationId xmlns:a16="http://schemas.microsoft.com/office/drawing/2014/main" id="{BF272971-FA55-2D1F-B5E4-C423C1689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3810</xdr:rowOff>
    </xdr:from>
    <xdr:to>
      <xdr:col>12</xdr:col>
      <xdr:colOff>7620</xdr:colOff>
      <xdr:row>32</xdr:row>
      <xdr:rowOff>167640</xdr:rowOff>
    </xdr:to>
    <xdr:graphicFrame macro="">
      <xdr:nvGraphicFramePr>
        <xdr:cNvPr id="3" name="Chart 2">
          <a:extLst>
            <a:ext uri="{FF2B5EF4-FFF2-40B4-BE49-F238E27FC236}">
              <a16:creationId xmlns:a16="http://schemas.microsoft.com/office/drawing/2014/main" id="{67D98285-BDD4-758C-10F9-6C3C88C7D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36</xdr:row>
      <xdr:rowOff>0</xdr:rowOff>
    </xdr:from>
    <xdr:to>
      <xdr:col>11</xdr:col>
      <xdr:colOff>845820</xdr:colOff>
      <xdr:row>48</xdr:row>
      <xdr:rowOff>0</xdr:rowOff>
    </xdr:to>
    <xdr:graphicFrame macro="">
      <xdr:nvGraphicFramePr>
        <xdr:cNvPr id="4" name="Chart 3">
          <a:extLst>
            <a:ext uri="{FF2B5EF4-FFF2-40B4-BE49-F238E27FC236}">
              <a16:creationId xmlns:a16="http://schemas.microsoft.com/office/drawing/2014/main" id="{9FD0E4CC-EA63-9A5E-B100-ACA73C6FA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50</xdr:row>
      <xdr:rowOff>156210</xdr:rowOff>
    </xdr:from>
    <xdr:to>
      <xdr:col>11</xdr:col>
      <xdr:colOff>845820</xdr:colOff>
      <xdr:row>62</xdr:row>
      <xdr:rowOff>175260</xdr:rowOff>
    </xdr:to>
    <xdr:graphicFrame macro="">
      <xdr:nvGraphicFramePr>
        <xdr:cNvPr id="5" name="Chart 4">
          <a:extLst>
            <a:ext uri="{FF2B5EF4-FFF2-40B4-BE49-F238E27FC236}">
              <a16:creationId xmlns:a16="http://schemas.microsoft.com/office/drawing/2014/main" id="{BF6012A2-C10F-4F68-6336-BEAFC4AC5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601980</xdr:colOff>
      <xdr:row>65</xdr:row>
      <xdr:rowOff>171450</xdr:rowOff>
    </xdr:from>
    <xdr:to>
      <xdr:col>11</xdr:col>
      <xdr:colOff>845820</xdr:colOff>
      <xdr:row>77</xdr:row>
      <xdr:rowOff>0</xdr:rowOff>
    </xdr:to>
    <xdr:graphicFrame macro="">
      <xdr:nvGraphicFramePr>
        <xdr:cNvPr id="6" name="Chart 5">
          <a:extLst>
            <a:ext uri="{FF2B5EF4-FFF2-40B4-BE49-F238E27FC236}">
              <a16:creationId xmlns:a16="http://schemas.microsoft.com/office/drawing/2014/main" id="{36939436-B3BB-5417-FE31-66FC38176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601980</xdr:colOff>
      <xdr:row>79</xdr:row>
      <xdr:rowOff>171450</xdr:rowOff>
    </xdr:from>
    <xdr:to>
      <xdr:col>12</xdr:col>
      <xdr:colOff>0</xdr:colOff>
      <xdr:row>92</xdr:row>
      <xdr:rowOff>15240</xdr:rowOff>
    </xdr:to>
    <xdr:graphicFrame macro="">
      <xdr:nvGraphicFramePr>
        <xdr:cNvPr id="7" name="Chart 6">
          <a:extLst>
            <a:ext uri="{FF2B5EF4-FFF2-40B4-BE49-F238E27FC236}">
              <a16:creationId xmlns:a16="http://schemas.microsoft.com/office/drawing/2014/main" id="{5320D7E3-D0A8-106E-D522-3504D61DA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94</xdr:row>
      <xdr:rowOff>171450</xdr:rowOff>
    </xdr:from>
    <xdr:to>
      <xdr:col>12</xdr:col>
      <xdr:colOff>15240</xdr:colOff>
      <xdr:row>107</xdr:row>
      <xdr:rowOff>38100</xdr:rowOff>
    </xdr:to>
    <xdr:graphicFrame macro="">
      <xdr:nvGraphicFramePr>
        <xdr:cNvPr id="8" name="Chart 7">
          <a:extLst>
            <a:ext uri="{FF2B5EF4-FFF2-40B4-BE49-F238E27FC236}">
              <a16:creationId xmlns:a16="http://schemas.microsoft.com/office/drawing/2014/main" id="{ED673F7E-8C9F-DF15-82C9-57A023F73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7620</xdr:colOff>
      <xdr:row>109</xdr:row>
      <xdr:rowOff>179070</xdr:rowOff>
    </xdr:from>
    <xdr:to>
      <xdr:col>12</xdr:col>
      <xdr:colOff>15240</xdr:colOff>
      <xdr:row>124</xdr:row>
      <xdr:rowOff>179070</xdr:rowOff>
    </xdr:to>
    <xdr:graphicFrame macro="">
      <xdr:nvGraphicFramePr>
        <xdr:cNvPr id="10" name="Chart 9">
          <a:extLst>
            <a:ext uri="{FF2B5EF4-FFF2-40B4-BE49-F238E27FC236}">
              <a16:creationId xmlns:a16="http://schemas.microsoft.com/office/drawing/2014/main" id="{68076006-89AC-C8E7-5970-64B54F85E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91440</xdr:rowOff>
    </xdr:from>
    <xdr:to>
      <xdr:col>13</xdr:col>
      <xdr:colOff>342900</xdr:colOff>
      <xdr:row>2</xdr:row>
      <xdr:rowOff>121920</xdr:rowOff>
    </xdr:to>
    <xdr:sp macro="" textlink="">
      <xdr:nvSpPr>
        <xdr:cNvPr id="7" name="Rectangle: Rounded Corners 6">
          <a:extLst>
            <a:ext uri="{FF2B5EF4-FFF2-40B4-BE49-F238E27FC236}">
              <a16:creationId xmlns:a16="http://schemas.microsoft.com/office/drawing/2014/main" id="{C9C1A75C-585C-E31F-E880-6A3C431325DE}"/>
            </a:ext>
          </a:extLst>
        </xdr:cNvPr>
        <xdr:cNvSpPr/>
      </xdr:nvSpPr>
      <xdr:spPr>
        <a:xfrm>
          <a:off x="152400" y="91440"/>
          <a:ext cx="8115300" cy="396240"/>
        </a:xfrm>
        <a:prstGeom prst="round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b="1"/>
            <a:t>Employee Salary Analysis Dashboard</a:t>
          </a:r>
          <a:endParaRPr lang="en-IN" sz="1600"/>
        </a:p>
      </xdr:txBody>
    </xdr:sp>
    <xdr:clientData/>
  </xdr:twoCellAnchor>
  <xdr:twoCellAnchor>
    <xdr:from>
      <xdr:col>0</xdr:col>
      <xdr:colOff>91440</xdr:colOff>
      <xdr:row>8</xdr:row>
      <xdr:rowOff>106680</xdr:rowOff>
    </xdr:from>
    <xdr:to>
      <xdr:col>5</xdr:col>
      <xdr:colOff>533400</xdr:colOff>
      <xdr:row>22</xdr:row>
      <xdr:rowOff>53340</xdr:rowOff>
    </xdr:to>
    <xdr:sp macro="" textlink="">
      <xdr:nvSpPr>
        <xdr:cNvPr id="2" name="Rectangle: Rounded Corners 1">
          <a:extLst>
            <a:ext uri="{FF2B5EF4-FFF2-40B4-BE49-F238E27FC236}">
              <a16:creationId xmlns:a16="http://schemas.microsoft.com/office/drawing/2014/main" id="{ACE24134-9EC2-B5BA-28FA-3F78AC22091F}"/>
            </a:ext>
          </a:extLst>
        </xdr:cNvPr>
        <xdr:cNvSpPr/>
      </xdr:nvSpPr>
      <xdr:spPr>
        <a:xfrm>
          <a:off x="91440" y="1569720"/>
          <a:ext cx="3489960" cy="250698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45720</xdr:colOff>
      <xdr:row>8</xdr:row>
      <xdr:rowOff>106680</xdr:rowOff>
    </xdr:from>
    <xdr:to>
      <xdr:col>11</xdr:col>
      <xdr:colOff>548640</xdr:colOff>
      <xdr:row>22</xdr:row>
      <xdr:rowOff>45720</xdr:rowOff>
    </xdr:to>
    <xdr:sp macro="" textlink="">
      <xdr:nvSpPr>
        <xdr:cNvPr id="4" name="Rectangle: Rounded Corners 3">
          <a:extLst>
            <a:ext uri="{FF2B5EF4-FFF2-40B4-BE49-F238E27FC236}">
              <a16:creationId xmlns:a16="http://schemas.microsoft.com/office/drawing/2014/main" id="{0B92C5F7-4CBA-7EB7-74A0-BDC383AD07C2}"/>
            </a:ext>
          </a:extLst>
        </xdr:cNvPr>
        <xdr:cNvSpPr/>
      </xdr:nvSpPr>
      <xdr:spPr>
        <a:xfrm>
          <a:off x="3703320" y="1569720"/>
          <a:ext cx="3550920" cy="249936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45720</xdr:colOff>
      <xdr:row>8</xdr:row>
      <xdr:rowOff>99060</xdr:rowOff>
    </xdr:from>
    <xdr:to>
      <xdr:col>17</xdr:col>
      <xdr:colOff>388620</xdr:colOff>
      <xdr:row>22</xdr:row>
      <xdr:rowOff>30480</xdr:rowOff>
    </xdr:to>
    <xdr:sp macro="" textlink="">
      <xdr:nvSpPr>
        <xdr:cNvPr id="5" name="Rectangle: Rounded Corners 4">
          <a:extLst>
            <a:ext uri="{FF2B5EF4-FFF2-40B4-BE49-F238E27FC236}">
              <a16:creationId xmlns:a16="http://schemas.microsoft.com/office/drawing/2014/main" id="{19D049B8-50B0-3E4E-B1AA-21C652DA9B1F}"/>
            </a:ext>
          </a:extLst>
        </xdr:cNvPr>
        <xdr:cNvSpPr/>
      </xdr:nvSpPr>
      <xdr:spPr>
        <a:xfrm>
          <a:off x="7360920" y="1562100"/>
          <a:ext cx="3390900" cy="249174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495300</xdr:colOff>
      <xdr:row>8</xdr:row>
      <xdr:rowOff>76200</xdr:rowOff>
    </xdr:from>
    <xdr:to>
      <xdr:col>23</xdr:col>
      <xdr:colOff>129540</xdr:colOff>
      <xdr:row>22</xdr:row>
      <xdr:rowOff>0</xdr:rowOff>
    </xdr:to>
    <xdr:sp macro="" textlink="">
      <xdr:nvSpPr>
        <xdr:cNvPr id="13" name="Rectangle: Rounded Corners 12">
          <a:extLst>
            <a:ext uri="{FF2B5EF4-FFF2-40B4-BE49-F238E27FC236}">
              <a16:creationId xmlns:a16="http://schemas.microsoft.com/office/drawing/2014/main" id="{EB7FAE7E-4302-84C7-610E-C9917E417AAD}"/>
            </a:ext>
          </a:extLst>
        </xdr:cNvPr>
        <xdr:cNvSpPr/>
      </xdr:nvSpPr>
      <xdr:spPr>
        <a:xfrm>
          <a:off x="10858500" y="1539240"/>
          <a:ext cx="3291840" cy="248412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8</xdr:row>
      <xdr:rowOff>129540</xdr:rowOff>
    </xdr:from>
    <xdr:to>
      <xdr:col>5</xdr:col>
      <xdr:colOff>556260</xdr:colOff>
      <xdr:row>22</xdr:row>
      <xdr:rowOff>22860</xdr:rowOff>
    </xdr:to>
    <xdr:graphicFrame macro="">
      <xdr:nvGraphicFramePr>
        <xdr:cNvPr id="14" name="Chart 13">
          <a:extLst>
            <a:ext uri="{FF2B5EF4-FFF2-40B4-BE49-F238E27FC236}">
              <a16:creationId xmlns:a16="http://schemas.microsoft.com/office/drawing/2014/main" id="{503DC813-B7AE-477F-83F3-A182CFA51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350520</xdr:colOff>
      <xdr:row>0</xdr:row>
      <xdr:rowOff>45721</xdr:rowOff>
    </xdr:from>
    <xdr:to>
      <xdr:col>20</xdr:col>
      <xdr:colOff>541020</xdr:colOff>
      <xdr:row>7</xdr:row>
      <xdr:rowOff>175260</xdr:rowOff>
    </xdr:to>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18FD5FB1-1E3F-2084-9ECC-1849807C8DC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323320" y="45721"/>
              <a:ext cx="14097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144780</xdr:colOff>
      <xdr:row>8</xdr:row>
      <xdr:rowOff>160020</xdr:rowOff>
    </xdr:from>
    <xdr:to>
      <xdr:col>11</xdr:col>
      <xdr:colOff>601980</xdr:colOff>
      <xdr:row>22</xdr:row>
      <xdr:rowOff>0</xdr:rowOff>
    </xdr:to>
    <xdr:graphicFrame macro="">
      <xdr:nvGraphicFramePr>
        <xdr:cNvPr id="19" name="Chart 18">
          <a:extLst>
            <a:ext uri="{FF2B5EF4-FFF2-40B4-BE49-F238E27FC236}">
              <a16:creationId xmlns:a16="http://schemas.microsoft.com/office/drawing/2014/main" id="{2EE67A01-5B2A-4E00-AA75-2B6D0AD47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83820</xdr:colOff>
      <xdr:row>9</xdr:row>
      <xdr:rowOff>38100</xdr:rowOff>
    </xdr:from>
    <xdr:to>
      <xdr:col>17</xdr:col>
      <xdr:colOff>403860</xdr:colOff>
      <xdr:row>21</xdr:row>
      <xdr:rowOff>121920</xdr:rowOff>
    </xdr:to>
    <xdr:graphicFrame macro="">
      <xdr:nvGraphicFramePr>
        <xdr:cNvPr id="20" name="Chart 19">
          <a:extLst>
            <a:ext uri="{FF2B5EF4-FFF2-40B4-BE49-F238E27FC236}">
              <a16:creationId xmlns:a16="http://schemas.microsoft.com/office/drawing/2014/main" id="{B92FD617-9B7D-4F82-8BC7-2E8CBC9A7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541020</xdr:colOff>
      <xdr:row>9</xdr:row>
      <xdr:rowOff>7620</xdr:rowOff>
    </xdr:from>
    <xdr:to>
      <xdr:col>23</xdr:col>
      <xdr:colOff>236220</xdr:colOff>
      <xdr:row>21</xdr:row>
      <xdr:rowOff>175260</xdr:rowOff>
    </xdr:to>
    <xdr:graphicFrame macro="">
      <xdr:nvGraphicFramePr>
        <xdr:cNvPr id="21" name="Chart 20">
          <a:extLst>
            <a:ext uri="{FF2B5EF4-FFF2-40B4-BE49-F238E27FC236}">
              <a16:creationId xmlns:a16="http://schemas.microsoft.com/office/drawing/2014/main" id="{9DD2250E-93DD-4A15-B264-22B34320C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106680</xdr:colOff>
      <xdr:row>23</xdr:row>
      <xdr:rowOff>7620</xdr:rowOff>
    </xdr:from>
    <xdr:to>
      <xdr:col>5</xdr:col>
      <xdr:colOff>495300</xdr:colOff>
      <xdr:row>36</xdr:row>
      <xdr:rowOff>68580</xdr:rowOff>
    </xdr:to>
    <xdr:sp macro="" textlink="">
      <xdr:nvSpPr>
        <xdr:cNvPr id="22" name="Rectangle: Rounded Corners 21">
          <a:extLst>
            <a:ext uri="{FF2B5EF4-FFF2-40B4-BE49-F238E27FC236}">
              <a16:creationId xmlns:a16="http://schemas.microsoft.com/office/drawing/2014/main" id="{FBCF5FFB-5F9E-599D-FF89-BCFD7FDC094C}"/>
            </a:ext>
          </a:extLst>
        </xdr:cNvPr>
        <xdr:cNvSpPr/>
      </xdr:nvSpPr>
      <xdr:spPr>
        <a:xfrm>
          <a:off x="106680" y="4213860"/>
          <a:ext cx="3436620" cy="243840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594360</xdr:colOff>
      <xdr:row>22</xdr:row>
      <xdr:rowOff>175260</xdr:rowOff>
    </xdr:from>
    <xdr:to>
      <xdr:col>11</xdr:col>
      <xdr:colOff>579120</xdr:colOff>
      <xdr:row>36</xdr:row>
      <xdr:rowOff>60960</xdr:rowOff>
    </xdr:to>
    <xdr:sp macro="" textlink="">
      <xdr:nvSpPr>
        <xdr:cNvPr id="23" name="Rectangle: Rounded Corners 22">
          <a:extLst>
            <a:ext uri="{FF2B5EF4-FFF2-40B4-BE49-F238E27FC236}">
              <a16:creationId xmlns:a16="http://schemas.microsoft.com/office/drawing/2014/main" id="{B4F8FEA4-60CE-BE31-CD7B-2722FEFB8F43}"/>
            </a:ext>
          </a:extLst>
        </xdr:cNvPr>
        <xdr:cNvSpPr/>
      </xdr:nvSpPr>
      <xdr:spPr>
        <a:xfrm>
          <a:off x="3642360" y="4198620"/>
          <a:ext cx="3642360" cy="244602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23</xdr:row>
      <xdr:rowOff>22860</xdr:rowOff>
    </xdr:from>
    <xdr:to>
      <xdr:col>17</xdr:col>
      <xdr:colOff>464820</xdr:colOff>
      <xdr:row>36</xdr:row>
      <xdr:rowOff>60960</xdr:rowOff>
    </xdr:to>
    <xdr:sp macro="" textlink="">
      <xdr:nvSpPr>
        <xdr:cNvPr id="24" name="Rectangle: Rounded Corners 23">
          <a:extLst>
            <a:ext uri="{FF2B5EF4-FFF2-40B4-BE49-F238E27FC236}">
              <a16:creationId xmlns:a16="http://schemas.microsoft.com/office/drawing/2014/main" id="{3D680A49-9A5D-8D3D-678F-F170AA2DF642}"/>
            </a:ext>
          </a:extLst>
        </xdr:cNvPr>
        <xdr:cNvSpPr/>
      </xdr:nvSpPr>
      <xdr:spPr>
        <a:xfrm>
          <a:off x="7353300" y="4229100"/>
          <a:ext cx="3474720" cy="241554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571500</xdr:colOff>
      <xdr:row>22</xdr:row>
      <xdr:rowOff>175260</xdr:rowOff>
    </xdr:from>
    <xdr:to>
      <xdr:col>23</xdr:col>
      <xdr:colOff>144780</xdr:colOff>
      <xdr:row>36</xdr:row>
      <xdr:rowOff>76200</xdr:rowOff>
    </xdr:to>
    <xdr:sp macro="" textlink="">
      <xdr:nvSpPr>
        <xdr:cNvPr id="25" name="Rectangle: Rounded Corners 24">
          <a:extLst>
            <a:ext uri="{FF2B5EF4-FFF2-40B4-BE49-F238E27FC236}">
              <a16:creationId xmlns:a16="http://schemas.microsoft.com/office/drawing/2014/main" id="{8CEA7C9F-961E-2D0F-6EFE-C47BEAE3AB83}"/>
            </a:ext>
          </a:extLst>
        </xdr:cNvPr>
        <xdr:cNvSpPr/>
      </xdr:nvSpPr>
      <xdr:spPr>
        <a:xfrm>
          <a:off x="10934700" y="4198620"/>
          <a:ext cx="3230880" cy="2461260"/>
        </a:xfrm>
        <a:prstGeom prst="roundRect">
          <a:avLst/>
        </a:prstGeom>
        <a:no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23</xdr:row>
      <xdr:rowOff>114300</xdr:rowOff>
    </xdr:from>
    <xdr:to>
      <xdr:col>5</xdr:col>
      <xdr:colOff>411480</xdr:colOff>
      <xdr:row>36</xdr:row>
      <xdr:rowOff>167640</xdr:rowOff>
    </xdr:to>
    <xdr:graphicFrame macro="">
      <xdr:nvGraphicFramePr>
        <xdr:cNvPr id="26" name="Chart 25">
          <a:extLst>
            <a:ext uri="{FF2B5EF4-FFF2-40B4-BE49-F238E27FC236}">
              <a16:creationId xmlns:a16="http://schemas.microsoft.com/office/drawing/2014/main" id="{D4D7E695-A8FD-4E09-BDBC-0DDE69297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129540</xdr:colOff>
      <xdr:row>23</xdr:row>
      <xdr:rowOff>38100</xdr:rowOff>
    </xdr:from>
    <xdr:to>
      <xdr:col>11</xdr:col>
      <xdr:colOff>579120</xdr:colOff>
      <xdr:row>36</xdr:row>
      <xdr:rowOff>60960</xdr:rowOff>
    </xdr:to>
    <xdr:graphicFrame macro="">
      <xdr:nvGraphicFramePr>
        <xdr:cNvPr id="27" name="Chart 26">
          <a:extLst>
            <a:ext uri="{FF2B5EF4-FFF2-40B4-BE49-F238E27FC236}">
              <a16:creationId xmlns:a16="http://schemas.microsoft.com/office/drawing/2014/main" id="{5E4BE4BC-B76F-426B-AA29-4DE7A07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30480</xdr:colOff>
      <xdr:row>23</xdr:row>
      <xdr:rowOff>22860</xdr:rowOff>
    </xdr:from>
    <xdr:to>
      <xdr:col>23</xdr:col>
      <xdr:colOff>464820</xdr:colOff>
      <xdr:row>36</xdr:row>
      <xdr:rowOff>7620</xdr:rowOff>
    </xdr:to>
    <xdr:graphicFrame macro="">
      <xdr:nvGraphicFramePr>
        <xdr:cNvPr id="29" name="Chart 28">
          <a:extLst>
            <a:ext uri="{FF2B5EF4-FFF2-40B4-BE49-F238E27FC236}">
              <a16:creationId xmlns:a16="http://schemas.microsoft.com/office/drawing/2014/main" id="{CDC40CC4-C287-4F83-BB36-937D1312C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106680</xdr:colOff>
      <xdr:row>23</xdr:row>
      <xdr:rowOff>76200</xdr:rowOff>
    </xdr:from>
    <xdr:to>
      <xdr:col>17</xdr:col>
      <xdr:colOff>502920</xdr:colOff>
      <xdr:row>35</xdr:row>
      <xdr:rowOff>114300</xdr:rowOff>
    </xdr:to>
    <xdr:graphicFrame macro="">
      <xdr:nvGraphicFramePr>
        <xdr:cNvPr id="30" name="Chart 29">
          <a:extLst>
            <a:ext uri="{FF2B5EF4-FFF2-40B4-BE49-F238E27FC236}">
              <a16:creationId xmlns:a16="http://schemas.microsoft.com/office/drawing/2014/main" id="{C43C1327-4363-49A9-9264-04A0681C2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0</xdr:colOff>
      <xdr:row>0</xdr:row>
      <xdr:rowOff>60961</xdr:rowOff>
    </xdr:from>
    <xdr:to>
      <xdr:col>16</xdr:col>
      <xdr:colOff>129540</xdr:colOff>
      <xdr:row>7</xdr:row>
      <xdr:rowOff>152400</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35B7F129-1824-97FB-E387-34C31C23FA0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534400" y="60961"/>
              <a:ext cx="134874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182880</xdr:colOff>
      <xdr:row>0</xdr:row>
      <xdr:rowOff>53340</xdr:rowOff>
    </xdr:from>
    <xdr:to>
      <xdr:col>18</xdr:col>
      <xdr:colOff>281940</xdr:colOff>
      <xdr:row>7</xdr:row>
      <xdr:rowOff>167640</xdr:rowOff>
    </xdr:to>
    <mc:AlternateContent xmlns:mc="http://schemas.openxmlformats.org/markup-compatibility/2006" xmlns:a14="http://schemas.microsoft.com/office/drawing/2010/main">
      <mc:Choice Requires="a14">
        <xdr:graphicFrame macro="">
          <xdr:nvGraphicFramePr>
            <xdr:cNvPr id="18" name="Experience 1">
              <a:extLst>
                <a:ext uri="{FF2B5EF4-FFF2-40B4-BE49-F238E27FC236}">
                  <a16:creationId xmlns:a16="http://schemas.microsoft.com/office/drawing/2014/main" id="{F49DCF9F-6A75-B452-C42E-8BA737B50421}"/>
                </a:ext>
              </a:extLst>
            </xdr:cNvPr>
            <xdr:cNvGraphicFramePr/>
          </xdr:nvGraphicFramePr>
          <xdr:xfrm>
            <a:off x="0" y="0"/>
            <a:ext cx="0" cy="0"/>
          </xdr:xfrm>
          <a:graphic>
            <a:graphicData uri="http://schemas.microsoft.com/office/drawing/2010/slicer">
              <sle:slicer xmlns:sle="http://schemas.microsoft.com/office/drawing/2010/slicer" name="Experience 1"/>
            </a:graphicData>
          </a:graphic>
        </xdr:graphicFrame>
      </mc:Choice>
      <mc:Fallback xmlns="">
        <xdr:sp macro="" textlink="">
          <xdr:nvSpPr>
            <xdr:cNvPr id="0" name=""/>
            <xdr:cNvSpPr>
              <a:spLocks noTextEdit="1"/>
            </xdr:cNvSpPr>
          </xdr:nvSpPr>
          <xdr:spPr>
            <a:xfrm>
              <a:off x="9936480" y="53340"/>
              <a:ext cx="131826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3</xdr:row>
      <xdr:rowOff>144780</xdr:rowOff>
    </xdr:from>
    <xdr:to>
      <xdr:col>2</xdr:col>
      <xdr:colOff>304800</xdr:colOff>
      <xdr:row>7</xdr:row>
      <xdr:rowOff>60960</xdr:rowOff>
    </xdr:to>
    <xdr:sp macro="" textlink="">
      <xdr:nvSpPr>
        <xdr:cNvPr id="36" name="Rectangle: Rounded Corners 35">
          <a:extLst>
            <a:ext uri="{FF2B5EF4-FFF2-40B4-BE49-F238E27FC236}">
              <a16:creationId xmlns:a16="http://schemas.microsoft.com/office/drawing/2014/main" id="{941436D3-8278-9C05-7D90-6E96D557E840}"/>
            </a:ext>
          </a:extLst>
        </xdr:cNvPr>
        <xdr:cNvSpPr/>
      </xdr:nvSpPr>
      <xdr:spPr>
        <a:xfrm>
          <a:off x="152400" y="693420"/>
          <a:ext cx="1371600" cy="647700"/>
        </a:xfrm>
        <a:prstGeom prst="roundRect">
          <a:avLst/>
        </a:prstGeom>
        <a:solidFill>
          <a:schemeClr val="bg1">
            <a:lumMod val="95000"/>
          </a:schemeClr>
        </a:solid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100"/>
        </a:p>
      </xdr:txBody>
    </xdr:sp>
    <xdr:clientData/>
  </xdr:twoCellAnchor>
  <xdr:twoCellAnchor>
    <xdr:from>
      <xdr:col>8</xdr:col>
      <xdr:colOff>281940</xdr:colOff>
      <xdr:row>3</xdr:row>
      <xdr:rowOff>144780</xdr:rowOff>
    </xdr:from>
    <xdr:to>
      <xdr:col>10</xdr:col>
      <xdr:colOff>518160</xdr:colOff>
      <xdr:row>7</xdr:row>
      <xdr:rowOff>91440</xdr:rowOff>
    </xdr:to>
    <xdr:sp macro="" textlink="">
      <xdr:nvSpPr>
        <xdr:cNvPr id="41" name="Rectangle: Rounded Corners 40">
          <a:extLst>
            <a:ext uri="{FF2B5EF4-FFF2-40B4-BE49-F238E27FC236}">
              <a16:creationId xmlns:a16="http://schemas.microsoft.com/office/drawing/2014/main" id="{5869684B-70A1-F44A-3FFB-65F657C78188}"/>
            </a:ext>
          </a:extLst>
        </xdr:cNvPr>
        <xdr:cNvSpPr/>
      </xdr:nvSpPr>
      <xdr:spPr>
        <a:xfrm>
          <a:off x="5158740" y="693420"/>
          <a:ext cx="1455420" cy="678180"/>
        </a:xfrm>
        <a:prstGeom prst="roundRect">
          <a:avLst/>
        </a:prstGeom>
        <a:solidFill>
          <a:schemeClr val="bg1"/>
        </a:solid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205740</xdr:colOff>
      <xdr:row>3</xdr:row>
      <xdr:rowOff>137160</xdr:rowOff>
    </xdr:from>
    <xdr:ext cx="1165860" cy="264560"/>
    <xdr:sp macro="" textlink="">
      <xdr:nvSpPr>
        <xdr:cNvPr id="42" name="TextBox 41">
          <a:extLst>
            <a:ext uri="{FF2B5EF4-FFF2-40B4-BE49-F238E27FC236}">
              <a16:creationId xmlns:a16="http://schemas.microsoft.com/office/drawing/2014/main" id="{CFE85537-49A6-2A9B-4847-B2EEAEB7CD73}"/>
            </a:ext>
          </a:extLst>
        </xdr:cNvPr>
        <xdr:cNvSpPr txBox="1"/>
      </xdr:nvSpPr>
      <xdr:spPr>
        <a:xfrm>
          <a:off x="205740" y="685800"/>
          <a:ext cx="11658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chemeClr val="tx1"/>
              </a:solidFill>
              <a:latin typeface="Bahnschrift SemiBold SemiConden" panose="020B0502040204020203" pitchFamily="34" charset="0"/>
            </a:rPr>
            <a:t>Total</a:t>
          </a:r>
          <a:r>
            <a:rPr lang="en-IN" sz="1100" baseline="0">
              <a:solidFill>
                <a:schemeClr val="tx1"/>
              </a:solidFill>
              <a:latin typeface="Bahnschrift SemiBold SemiConden" panose="020B0502040204020203" pitchFamily="34" charset="0"/>
            </a:rPr>
            <a:t> Employee</a:t>
          </a:r>
          <a:endParaRPr lang="en-IN" sz="1100">
            <a:solidFill>
              <a:schemeClr val="tx1"/>
            </a:solidFill>
            <a:latin typeface="Bahnschrift SemiBold SemiConden" panose="020B0502040204020203" pitchFamily="34" charset="0"/>
          </a:endParaRPr>
        </a:p>
      </xdr:txBody>
    </xdr:sp>
    <xdr:clientData/>
  </xdr:oneCellAnchor>
  <xdr:twoCellAnchor>
    <xdr:from>
      <xdr:col>0</xdr:col>
      <xdr:colOff>327660</xdr:colOff>
      <xdr:row>5</xdr:row>
      <xdr:rowOff>60960</xdr:rowOff>
    </xdr:from>
    <xdr:to>
      <xdr:col>2</xdr:col>
      <xdr:colOff>22860</xdr:colOff>
      <xdr:row>6</xdr:row>
      <xdr:rowOff>91440</xdr:rowOff>
    </xdr:to>
    <xdr:sp macro="" textlink="'Pivot Tables And Charts'!B12">
      <xdr:nvSpPr>
        <xdr:cNvPr id="44" name="TextBox 43">
          <a:extLst>
            <a:ext uri="{FF2B5EF4-FFF2-40B4-BE49-F238E27FC236}">
              <a16:creationId xmlns:a16="http://schemas.microsoft.com/office/drawing/2014/main" id="{217ABEB1-1F77-2232-8CE2-CD64AA22351C}"/>
            </a:ext>
          </a:extLst>
        </xdr:cNvPr>
        <xdr:cNvSpPr txBox="1"/>
      </xdr:nvSpPr>
      <xdr:spPr>
        <a:xfrm>
          <a:off x="327660" y="975360"/>
          <a:ext cx="914400" cy="213360"/>
        </a:xfrm>
        <a:prstGeom prst="rect">
          <a:avLst/>
        </a:prstGeom>
        <a:solidFill>
          <a:schemeClr val="lt1"/>
        </a:solidFill>
        <a:ln w="9525" cmpd="sng">
          <a:solidFill>
            <a:schemeClr val="lt1">
              <a:shade val="50000"/>
            </a:schemeClr>
          </a:solidFill>
        </a:ln>
        <a:effectLst>
          <a:outerShdw blurRad="50800" dist="38100" dir="2700000" algn="tl" rotWithShape="0">
            <a:srgbClr val="FF0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7194CA-3ACC-4948-A105-B5D131F752A0}" type="TxLink">
            <a:rPr lang="en-US" sz="1100" b="0" i="0" u="none" strike="noStrike">
              <a:solidFill>
                <a:srgbClr val="000000"/>
              </a:solidFill>
              <a:latin typeface="Britannic Bold" panose="020B0903060703020204" pitchFamily="34" charset="0"/>
            </a:rPr>
            <a:pPr algn="ctr"/>
            <a:t>100</a:t>
          </a:fld>
          <a:endParaRPr lang="en-IN" sz="1100">
            <a:latin typeface="Britannic Bold" panose="020B0903060703020204" pitchFamily="34" charset="0"/>
          </a:endParaRPr>
        </a:p>
      </xdr:txBody>
    </xdr:sp>
    <xdr:clientData/>
  </xdr:twoCellAnchor>
  <xdr:twoCellAnchor>
    <xdr:from>
      <xdr:col>2</xdr:col>
      <xdr:colOff>449580</xdr:colOff>
      <xdr:row>3</xdr:row>
      <xdr:rowOff>152400</xdr:rowOff>
    </xdr:from>
    <xdr:to>
      <xdr:col>5</xdr:col>
      <xdr:colOff>205740</xdr:colOff>
      <xdr:row>7</xdr:row>
      <xdr:rowOff>60960</xdr:rowOff>
    </xdr:to>
    <xdr:sp macro="" textlink="">
      <xdr:nvSpPr>
        <xdr:cNvPr id="45" name="Rectangle: Rounded Corners 44">
          <a:extLst>
            <a:ext uri="{FF2B5EF4-FFF2-40B4-BE49-F238E27FC236}">
              <a16:creationId xmlns:a16="http://schemas.microsoft.com/office/drawing/2014/main" id="{990143EB-D25A-2589-D4CC-205726E48AE5}"/>
            </a:ext>
          </a:extLst>
        </xdr:cNvPr>
        <xdr:cNvSpPr/>
      </xdr:nvSpPr>
      <xdr:spPr>
        <a:xfrm>
          <a:off x="1668780" y="701040"/>
          <a:ext cx="1584960" cy="640080"/>
        </a:xfrm>
        <a:prstGeom prst="roundRect">
          <a:avLst/>
        </a:prstGeom>
        <a:solidFill>
          <a:schemeClr val="bg1"/>
        </a:solid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579120</xdr:colOff>
      <xdr:row>5</xdr:row>
      <xdr:rowOff>83820</xdr:rowOff>
    </xdr:from>
    <xdr:to>
      <xdr:col>5</xdr:col>
      <xdr:colOff>0</xdr:colOff>
      <xdr:row>6</xdr:row>
      <xdr:rowOff>137160</xdr:rowOff>
    </xdr:to>
    <xdr:sp macro="" textlink="'Pivot Tables And Charts'!B26">
      <xdr:nvSpPr>
        <xdr:cNvPr id="46" name="TextBox 45">
          <a:extLst>
            <a:ext uri="{FF2B5EF4-FFF2-40B4-BE49-F238E27FC236}">
              <a16:creationId xmlns:a16="http://schemas.microsoft.com/office/drawing/2014/main" id="{1F0C4B58-16AD-FD82-ACC0-45FEE54C7342}"/>
            </a:ext>
          </a:extLst>
        </xdr:cNvPr>
        <xdr:cNvSpPr txBox="1"/>
      </xdr:nvSpPr>
      <xdr:spPr>
        <a:xfrm>
          <a:off x="1798320" y="998220"/>
          <a:ext cx="1249680" cy="236220"/>
        </a:xfrm>
        <a:prstGeom prst="rect">
          <a:avLst/>
        </a:prstGeom>
        <a:solidFill>
          <a:schemeClr val="lt1"/>
        </a:solidFill>
        <a:ln w="9525" cmpd="sng">
          <a:solidFill>
            <a:schemeClr val="lt1">
              <a:shade val="50000"/>
            </a:schemeClr>
          </a:solidFill>
        </a:ln>
        <a:effectLst>
          <a:outerShdw blurRad="50800" dist="38100" dir="2700000" algn="tl" rotWithShape="0">
            <a:srgbClr val="FF0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062D6F-45B3-497D-8812-B1D22B8570D1}" type="TxLink">
            <a:rPr lang="en-US" sz="1100" b="0" i="0" u="none" strike="noStrike">
              <a:solidFill>
                <a:srgbClr val="000000"/>
              </a:solidFill>
              <a:latin typeface="Britannic Bold" panose="020B0903060703020204" pitchFamily="34" charset="0"/>
            </a:rPr>
            <a:pPr algn="ctr"/>
            <a:t>₹ 70,04,000.00</a:t>
          </a:fld>
          <a:endParaRPr lang="en-IN" sz="1100">
            <a:latin typeface="Britannic Bold" panose="020B0903060703020204" pitchFamily="34" charset="0"/>
          </a:endParaRPr>
        </a:p>
      </xdr:txBody>
    </xdr:sp>
    <xdr:clientData/>
  </xdr:twoCellAnchor>
  <xdr:twoCellAnchor>
    <xdr:from>
      <xdr:col>2</xdr:col>
      <xdr:colOff>548640</xdr:colOff>
      <xdr:row>3</xdr:row>
      <xdr:rowOff>167640</xdr:rowOff>
    </xdr:from>
    <xdr:to>
      <xdr:col>5</xdr:col>
      <xdr:colOff>91440</xdr:colOff>
      <xdr:row>5</xdr:row>
      <xdr:rowOff>22860</xdr:rowOff>
    </xdr:to>
    <xdr:sp macro="" textlink="">
      <xdr:nvSpPr>
        <xdr:cNvPr id="1025" name="Text Box 1">
          <a:extLst>
            <a:ext uri="{FF2B5EF4-FFF2-40B4-BE49-F238E27FC236}">
              <a16:creationId xmlns:a16="http://schemas.microsoft.com/office/drawing/2014/main" id="{546489C2-5985-D192-575B-DA19119B81CE}"/>
            </a:ext>
          </a:extLst>
        </xdr:cNvPr>
        <xdr:cNvSpPr txBox="1">
          <a:spLocks noChangeArrowheads="1"/>
        </xdr:cNvSpPr>
      </xdr:nvSpPr>
      <xdr:spPr bwMode="auto">
        <a:xfrm>
          <a:off x="1767840" y="716280"/>
          <a:ext cx="1371600" cy="220980"/>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1100" b="0" i="0" u="none" strike="noStrike" baseline="0">
              <a:solidFill>
                <a:srgbClr val="000000"/>
              </a:solidFill>
              <a:latin typeface="Bahnschrift SemiBold SemiConden" panose="020B0502040204020203" pitchFamily="34" charset="0"/>
            </a:rPr>
            <a:t>Total Gross Salary</a:t>
          </a:r>
        </a:p>
      </xdr:txBody>
    </xdr:sp>
    <xdr:clientData/>
  </xdr:twoCellAnchor>
  <xdr:twoCellAnchor>
    <xdr:from>
      <xdr:col>5</xdr:col>
      <xdr:colOff>403860</xdr:colOff>
      <xdr:row>3</xdr:row>
      <xdr:rowOff>144780</xdr:rowOff>
    </xdr:from>
    <xdr:to>
      <xdr:col>8</xdr:col>
      <xdr:colOff>175260</xdr:colOff>
      <xdr:row>7</xdr:row>
      <xdr:rowOff>76200</xdr:rowOff>
    </xdr:to>
    <xdr:sp macro="" textlink="">
      <xdr:nvSpPr>
        <xdr:cNvPr id="47" name="Rectangle: Rounded Corners 46">
          <a:extLst>
            <a:ext uri="{FF2B5EF4-FFF2-40B4-BE49-F238E27FC236}">
              <a16:creationId xmlns:a16="http://schemas.microsoft.com/office/drawing/2014/main" id="{397E388E-4439-AB9E-B09E-44756486814F}"/>
            </a:ext>
          </a:extLst>
        </xdr:cNvPr>
        <xdr:cNvSpPr/>
      </xdr:nvSpPr>
      <xdr:spPr>
        <a:xfrm>
          <a:off x="3451860" y="693420"/>
          <a:ext cx="1600200" cy="662940"/>
        </a:xfrm>
        <a:prstGeom prst="roundRect">
          <a:avLst/>
        </a:prstGeom>
        <a:solidFill>
          <a:schemeClr val="bg1"/>
        </a:solid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22860</xdr:colOff>
      <xdr:row>3</xdr:row>
      <xdr:rowOff>152400</xdr:rowOff>
    </xdr:from>
    <xdr:ext cx="1063048" cy="264560"/>
    <xdr:sp macro="" textlink="">
      <xdr:nvSpPr>
        <xdr:cNvPr id="48" name="TextBox 47">
          <a:extLst>
            <a:ext uri="{FF2B5EF4-FFF2-40B4-BE49-F238E27FC236}">
              <a16:creationId xmlns:a16="http://schemas.microsoft.com/office/drawing/2014/main" id="{28C2FC44-83B7-1C8D-4959-EA714FCF68FD}"/>
            </a:ext>
          </a:extLst>
        </xdr:cNvPr>
        <xdr:cNvSpPr txBox="1"/>
      </xdr:nvSpPr>
      <xdr:spPr>
        <a:xfrm>
          <a:off x="3680460" y="701040"/>
          <a:ext cx="10630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a:solidFill>
                <a:schemeClr val="tx1"/>
              </a:solidFill>
              <a:latin typeface="Bahnschrift SemiBold SemiConden" panose="020B0502040204020203" pitchFamily="34" charset="0"/>
            </a:rPr>
            <a:t>Total Net Salary</a:t>
          </a:r>
        </a:p>
      </xdr:txBody>
    </xdr:sp>
    <xdr:clientData/>
  </xdr:oneCellAnchor>
  <xdr:oneCellAnchor>
    <xdr:from>
      <xdr:col>5</xdr:col>
      <xdr:colOff>541020</xdr:colOff>
      <xdr:row>5</xdr:row>
      <xdr:rowOff>45720</xdr:rowOff>
    </xdr:from>
    <xdr:ext cx="1264920" cy="264560"/>
    <xdr:sp macro="" textlink="'Pivot Tables And Charts'!B40">
      <xdr:nvSpPr>
        <xdr:cNvPr id="49" name="TextBox 48">
          <a:extLst>
            <a:ext uri="{FF2B5EF4-FFF2-40B4-BE49-F238E27FC236}">
              <a16:creationId xmlns:a16="http://schemas.microsoft.com/office/drawing/2014/main" id="{9BE8DAF0-55A3-6A36-7F96-4B777C97FD8D}"/>
            </a:ext>
          </a:extLst>
        </xdr:cNvPr>
        <xdr:cNvSpPr txBox="1"/>
      </xdr:nvSpPr>
      <xdr:spPr>
        <a:xfrm>
          <a:off x="3589020" y="960120"/>
          <a:ext cx="1264920" cy="264560"/>
        </a:xfrm>
        <a:prstGeom prst="rect">
          <a:avLst/>
        </a:prstGeom>
        <a:solidFill>
          <a:schemeClr val="bg1"/>
        </a:solidFill>
        <a:effectLst>
          <a:outerShdw blurRad="50800" dist="38100" dir="2700000" algn="tl" rotWithShape="0">
            <a:srgbClr val="FF0000">
              <a:alpha val="40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28EF761-56A3-41B8-99DB-EF6FB19F6810}" type="TxLink">
            <a:rPr lang="en-US" sz="1100" b="0" i="0" u="none" strike="noStrike">
              <a:solidFill>
                <a:srgbClr val="000000"/>
              </a:solidFill>
              <a:latin typeface="Britannic Bold" panose="020B0903060703020204" pitchFamily="34" charset="0"/>
            </a:rPr>
            <a:pPr algn="ctr"/>
            <a:t> ₹ 61,24,300.00 </a:t>
          </a:fld>
          <a:endParaRPr lang="en-IN" sz="1100">
            <a:latin typeface="Britannic Bold" panose="020B0903060703020204" pitchFamily="34" charset="0"/>
          </a:endParaRPr>
        </a:p>
      </xdr:txBody>
    </xdr:sp>
    <xdr:clientData/>
  </xdr:oneCellAnchor>
  <xdr:oneCellAnchor>
    <xdr:from>
      <xdr:col>8</xdr:col>
      <xdr:colOff>320040</xdr:colOff>
      <xdr:row>3</xdr:row>
      <xdr:rowOff>167640</xdr:rowOff>
    </xdr:from>
    <xdr:ext cx="1249894" cy="261610"/>
    <xdr:sp macro="" textlink="">
      <xdr:nvSpPr>
        <xdr:cNvPr id="50" name="TextBox 49">
          <a:extLst>
            <a:ext uri="{FF2B5EF4-FFF2-40B4-BE49-F238E27FC236}">
              <a16:creationId xmlns:a16="http://schemas.microsoft.com/office/drawing/2014/main" id="{4074A21F-97E0-50C5-3C95-5CA60E4F4664}"/>
            </a:ext>
          </a:extLst>
        </xdr:cNvPr>
        <xdr:cNvSpPr txBox="1"/>
      </xdr:nvSpPr>
      <xdr:spPr>
        <a:xfrm>
          <a:off x="5196840" y="716280"/>
          <a:ext cx="1249894"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a:latin typeface="Bahnschrift SemiBold SemiConden" panose="020B0502040204020203" pitchFamily="34" charset="0"/>
            </a:rPr>
            <a:t>Average Net Salary</a:t>
          </a:r>
        </a:p>
      </xdr:txBody>
    </xdr:sp>
    <xdr:clientData/>
  </xdr:oneCellAnchor>
  <xdr:oneCellAnchor>
    <xdr:from>
      <xdr:col>8</xdr:col>
      <xdr:colOff>419100</xdr:colOff>
      <xdr:row>5</xdr:row>
      <xdr:rowOff>76200</xdr:rowOff>
    </xdr:from>
    <xdr:ext cx="1059180" cy="254557"/>
    <xdr:sp macro="" textlink="'Pivot Tables And Charts'!B54">
      <xdr:nvSpPr>
        <xdr:cNvPr id="51" name="TextBox 50">
          <a:extLst>
            <a:ext uri="{FF2B5EF4-FFF2-40B4-BE49-F238E27FC236}">
              <a16:creationId xmlns:a16="http://schemas.microsoft.com/office/drawing/2014/main" id="{5BDF9C90-C1DC-C521-1947-4A38E591A33B}"/>
            </a:ext>
          </a:extLst>
        </xdr:cNvPr>
        <xdr:cNvSpPr txBox="1"/>
      </xdr:nvSpPr>
      <xdr:spPr>
        <a:xfrm>
          <a:off x="5295900" y="990600"/>
          <a:ext cx="1059180" cy="254557"/>
        </a:xfrm>
        <a:prstGeom prst="rect">
          <a:avLst/>
        </a:prstGeom>
        <a:solidFill>
          <a:schemeClr val="bg1"/>
        </a:solidFill>
        <a:effectLst>
          <a:outerShdw blurRad="50800" dist="38100" dir="2700000" algn="tl" rotWithShape="0">
            <a:srgbClr val="FF0000">
              <a:alpha val="40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5C0C478-9022-480B-85FB-C52995F736F9}" type="TxLink">
            <a:rPr lang="en-US" sz="1100" b="0" i="0" u="none" strike="noStrike">
              <a:solidFill>
                <a:srgbClr val="000000"/>
              </a:solidFill>
              <a:latin typeface="Britannic Bold" panose="020B0903060703020204" pitchFamily="34" charset="0"/>
            </a:rPr>
            <a:pPr algn="ctr"/>
            <a:t> ₹ 70,040.00 </a:t>
          </a:fld>
          <a:endParaRPr lang="en-IN" sz="1100">
            <a:latin typeface="Britannic Bold" panose="020B0903060703020204" pitchFamily="34" charset="0"/>
          </a:endParaRPr>
        </a:p>
      </xdr:txBody>
    </xdr:sp>
    <xdr:clientData/>
  </xdr:oneCellAnchor>
  <xdr:twoCellAnchor>
    <xdr:from>
      <xdr:col>11</xdr:col>
      <xdr:colOff>60960</xdr:colOff>
      <xdr:row>3</xdr:row>
      <xdr:rowOff>137160</xdr:rowOff>
    </xdr:from>
    <xdr:to>
      <xdr:col>13</xdr:col>
      <xdr:colOff>320040</xdr:colOff>
      <xdr:row>7</xdr:row>
      <xdr:rowOff>38100</xdr:rowOff>
    </xdr:to>
    <xdr:sp macro="" textlink="">
      <xdr:nvSpPr>
        <xdr:cNvPr id="52" name="Rectangle: Rounded Corners 51">
          <a:extLst>
            <a:ext uri="{FF2B5EF4-FFF2-40B4-BE49-F238E27FC236}">
              <a16:creationId xmlns:a16="http://schemas.microsoft.com/office/drawing/2014/main" id="{224F6983-6BB7-8ED3-80C8-88D69BB5AD07}"/>
            </a:ext>
          </a:extLst>
        </xdr:cNvPr>
        <xdr:cNvSpPr/>
      </xdr:nvSpPr>
      <xdr:spPr>
        <a:xfrm>
          <a:off x="6766560" y="685800"/>
          <a:ext cx="1478280" cy="632460"/>
        </a:xfrm>
        <a:prstGeom prst="roundRect">
          <a:avLst/>
        </a:prstGeom>
        <a:solidFill>
          <a:schemeClr val="bg1"/>
        </a:solid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205740</xdr:colOff>
      <xdr:row>5</xdr:row>
      <xdr:rowOff>53340</xdr:rowOff>
    </xdr:from>
    <xdr:ext cx="1203960" cy="259080"/>
    <xdr:sp macro="" textlink="'Pivot Tables And Charts'!P77">
      <xdr:nvSpPr>
        <xdr:cNvPr id="55" name="TextBox 54">
          <a:extLst>
            <a:ext uri="{FF2B5EF4-FFF2-40B4-BE49-F238E27FC236}">
              <a16:creationId xmlns:a16="http://schemas.microsoft.com/office/drawing/2014/main" id="{0325DAA5-9BB7-B779-8F0B-19927F2BD787}"/>
            </a:ext>
          </a:extLst>
        </xdr:cNvPr>
        <xdr:cNvSpPr txBox="1"/>
      </xdr:nvSpPr>
      <xdr:spPr>
        <a:xfrm>
          <a:off x="6911340" y="967740"/>
          <a:ext cx="1203960" cy="259080"/>
        </a:xfrm>
        <a:prstGeom prst="rect">
          <a:avLst/>
        </a:prstGeom>
        <a:solidFill>
          <a:schemeClr val="bg1"/>
        </a:solidFill>
        <a:effectLst>
          <a:outerShdw blurRad="50800" dist="38100" dir="2700000" algn="tl" rotWithShape="0">
            <a:srgbClr val="FF0000">
              <a:alpha val="40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6DBF56A-96A9-4286-B135-6BD5F956D215}" type="TxLink">
            <a:rPr lang="en-US" sz="1100" b="0" i="0" u="none" strike="noStrike">
              <a:solidFill>
                <a:srgbClr val="000000"/>
              </a:solidFill>
              <a:latin typeface="Britannic Bold" panose="020B0903060703020204" pitchFamily="34" charset="0"/>
            </a:rPr>
            <a:pPr algn="ctr"/>
            <a:t>₹ 8,79,700.00</a:t>
          </a:fld>
          <a:endParaRPr lang="en-IN" sz="1100">
            <a:latin typeface="Britannic Bold" panose="020B0903060703020204" pitchFamily="34" charset="0"/>
          </a:endParaRPr>
        </a:p>
      </xdr:txBody>
    </xdr:sp>
    <xdr:clientData/>
  </xdr:oneCellAnchor>
  <xdr:oneCellAnchor>
    <xdr:from>
      <xdr:col>11</xdr:col>
      <xdr:colOff>289560</xdr:colOff>
      <xdr:row>4</xdr:row>
      <xdr:rowOff>0</xdr:rowOff>
    </xdr:from>
    <xdr:ext cx="1031244" cy="261610"/>
    <xdr:sp macro="" textlink="">
      <xdr:nvSpPr>
        <xdr:cNvPr id="56" name="TextBox 55">
          <a:extLst>
            <a:ext uri="{FF2B5EF4-FFF2-40B4-BE49-F238E27FC236}">
              <a16:creationId xmlns:a16="http://schemas.microsoft.com/office/drawing/2014/main" id="{B734AFFC-0449-4C2F-BB71-9DDD9879E1F4}"/>
            </a:ext>
          </a:extLst>
        </xdr:cNvPr>
        <xdr:cNvSpPr txBox="1"/>
      </xdr:nvSpPr>
      <xdr:spPr>
        <a:xfrm>
          <a:off x="6995160" y="731520"/>
          <a:ext cx="1031244"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a:latin typeface="Bahnschrift SemiBold SemiConden" panose="020B0502040204020203" pitchFamily="34" charset="0"/>
            </a:rPr>
            <a:t>Total Deduction</a:t>
          </a:r>
        </a:p>
      </xdr:txBody>
    </xdr:sp>
    <xdr:clientData/>
  </xdr:oneCellAnchor>
  <xdr:twoCellAnchor editAs="oneCell">
    <xdr:from>
      <xdr:col>20</xdr:col>
      <xdr:colOff>601980</xdr:colOff>
      <xdr:row>0</xdr:row>
      <xdr:rowOff>53341</xdr:rowOff>
    </xdr:from>
    <xdr:to>
      <xdr:col>23</xdr:col>
      <xdr:colOff>114300</xdr:colOff>
      <xdr:row>8</xdr:row>
      <xdr:rowOff>0</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F21F6306-5FCF-8C28-CB6B-6B1BE745FD4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793980" y="53341"/>
              <a:ext cx="134112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563880</xdr:colOff>
      <xdr:row>8</xdr:row>
      <xdr:rowOff>91440</xdr:rowOff>
    </xdr:from>
    <xdr:ext cx="184731" cy="264560"/>
    <xdr:sp macro="" textlink="">
      <xdr:nvSpPr>
        <xdr:cNvPr id="3" name="TextBox 2">
          <a:extLst>
            <a:ext uri="{FF2B5EF4-FFF2-40B4-BE49-F238E27FC236}">
              <a16:creationId xmlns:a16="http://schemas.microsoft.com/office/drawing/2014/main" id="{8166C60C-F115-2AAB-E589-B409875227C1}"/>
            </a:ext>
          </a:extLst>
        </xdr:cNvPr>
        <xdr:cNvSpPr txBox="1"/>
      </xdr:nvSpPr>
      <xdr:spPr>
        <a:xfrm>
          <a:off x="3611880" y="1554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312420</xdr:colOff>
      <xdr:row>34</xdr:row>
      <xdr:rowOff>152400</xdr:rowOff>
    </xdr:from>
    <xdr:ext cx="184731" cy="264560"/>
    <xdr:sp macro="" textlink="">
      <xdr:nvSpPr>
        <xdr:cNvPr id="12" name="TextBox 11">
          <a:extLst>
            <a:ext uri="{FF2B5EF4-FFF2-40B4-BE49-F238E27FC236}">
              <a16:creationId xmlns:a16="http://schemas.microsoft.com/office/drawing/2014/main" id="{B59F805D-C34B-7F6A-88CC-1B5EF077EBB2}"/>
            </a:ext>
          </a:extLst>
        </xdr:cNvPr>
        <xdr:cNvSpPr txBox="1"/>
      </xdr:nvSpPr>
      <xdr:spPr>
        <a:xfrm>
          <a:off x="312420" y="6370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18</xdr:col>
      <xdr:colOff>129540</xdr:colOff>
      <xdr:row>33</xdr:row>
      <xdr:rowOff>137160</xdr:rowOff>
    </xdr:from>
    <xdr:ext cx="184731" cy="264560"/>
    <xdr:sp macro="" textlink="">
      <xdr:nvSpPr>
        <xdr:cNvPr id="33" name="TextBox 32">
          <a:extLst>
            <a:ext uri="{FF2B5EF4-FFF2-40B4-BE49-F238E27FC236}">
              <a16:creationId xmlns:a16="http://schemas.microsoft.com/office/drawing/2014/main" id="{92B08572-9A56-54A8-CDF0-B7C9DCCBB313}"/>
            </a:ext>
          </a:extLst>
        </xdr:cNvPr>
        <xdr:cNvSpPr txBox="1"/>
      </xdr:nvSpPr>
      <xdr:spPr>
        <a:xfrm>
          <a:off x="11102340" y="617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refreshedDate="46289.887724189815" createdVersion="8" refreshedVersion="8" minRefreshableVersion="3" recordCount="100" xr:uid="{06291743-4E91-4F46-99F0-461F92CAB172}">
  <cacheSource type="worksheet">
    <worksheetSource name="Table1"/>
  </cacheSource>
  <cacheFields count="20">
    <cacheField name="Employee ID" numFmtId="0">
      <sharedItems count="1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haredItems>
    </cacheField>
    <cacheField name="Employee Name" numFmtId="0">
      <sharedItems/>
    </cacheField>
    <cacheField name="Gender" numFmtId="0">
      <sharedItems count="2">
        <s v="Male"/>
        <s v="Female"/>
      </sharedItems>
    </cacheField>
    <cacheField name="Department" numFmtId="0">
      <sharedItems count="6">
        <s v="IT"/>
        <s v="HR"/>
        <s v="Finance"/>
        <s v="Marketing"/>
        <s v="Sales"/>
        <s v="Admin"/>
      </sharedItems>
    </cacheField>
    <cacheField name="Designation" numFmtId="0">
      <sharedItems count="55">
        <s v="Software Developer"/>
        <s v="HR Executive"/>
        <s v="Accountant"/>
        <s v="Marketing Executive"/>
        <s v="Software Engineer"/>
        <s v="Sales Executive"/>
        <s v="Admin Officer"/>
        <s v="Senior Accountant"/>
        <s v="Data Analyst"/>
        <s v="Recruiter"/>
        <s v="Team Leader"/>
        <s v="Financial Analyst"/>
        <s v="Sales Manager"/>
        <s v="Content Writer"/>
        <s v="Backend Developer"/>
        <s v="HR Manager"/>
        <s v="Office Manager"/>
        <s v="Auditor"/>
        <s v="Frontend Developer"/>
        <s v="Marketing Manager"/>
        <s v="Cloud Engineer"/>
        <s v="Software Tester"/>
        <s v="Finance Executive"/>
        <s v="Digital Marketing Executive"/>
        <s v="Admin Executive"/>
        <s v="Sales Coordinator"/>
        <s v="System Administrator"/>
        <s v="Training Executive"/>
        <s v="Finance Manager"/>
        <s v="SEO Executive"/>
        <s v="UI Designer"/>
        <s v="Operations Executive"/>
        <s v="DevOps Engineer"/>
        <s v="HR Assistant"/>
        <s v="Brand Executive"/>
        <s v="Business Development Executive"/>
        <s v="Receptionist"/>
        <s v="Full Stack Developer"/>
        <s v="Network Engineer"/>
        <s v="Social Media Executive"/>
        <s v="QA Engineer"/>
        <s v="Office Assistant"/>
        <s v="Database Administrator"/>
        <s v="Senior Developer"/>
        <s v="Operations Manager"/>
        <s v="Technical Lead"/>
        <s v="Business Development Manager"/>
        <s v="Content Manager"/>
        <s v="Admin Manager"/>
        <s v="Senior Software Engineer"/>
        <s v="Data Scientist"/>
        <s v="Project Manager"/>
        <s v="Cloud Architect"/>
        <s v="Recruitment Manager"/>
        <s v="Solution Architect"/>
      </sharedItems>
    </cacheField>
    <cacheField name="Joining Date" numFmtId="14">
      <sharedItems containsSemiMixedTypes="0" containsNonDate="0" containsDate="1" containsString="0" minDate="2018-09-26T00:00:00" maxDate="2026-04-12T00:00:00"/>
    </cacheField>
    <cacheField name="Employment Type" numFmtId="0">
      <sharedItems/>
    </cacheField>
    <cacheField name="City" numFmtId="0">
      <sharedItems count="5">
        <s v="Pune"/>
        <s v="Mumbai"/>
        <s v="Nashik"/>
        <s v="Nagpur"/>
        <s v="Aurangabad"/>
      </sharedItems>
    </cacheField>
    <cacheField name="Experience" numFmtId="0">
      <sharedItems containsSemiMixedTypes="0" containsString="0" containsNumber="1" containsInteger="1" minValue="0" maxValue="7" count="8">
        <n v="5"/>
        <n v="4"/>
        <n v="3"/>
        <n v="2"/>
        <n v="1"/>
        <n v="0"/>
        <n v="6"/>
        <n v="7"/>
      </sharedItems>
    </cacheField>
    <cacheField name="Basic Salary" numFmtId="0">
      <sharedItems containsSemiMixedTypes="0" containsString="0" containsNumber="1" containsInteger="1" minValue="30000" maxValue="85000"/>
    </cacheField>
    <cacheField name="HRA" numFmtId="0">
      <sharedItems containsSemiMixedTypes="0" containsString="0" containsNumber="1" containsInteger="1" minValue="6000" maxValue="17000"/>
    </cacheField>
    <cacheField name="DA" numFmtId="0">
      <sharedItems containsSemiMixedTypes="0" containsString="0" containsNumber="1" containsInteger="1" minValue="3000" maxValue="8500"/>
    </cacheField>
    <cacheField name="Bonus" numFmtId="0">
      <sharedItems containsSemiMixedTypes="0" containsString="0" containsNumber="1" containsInteger="1" minValue="2500" maxValue="10000"/>
    </cacheField>
    <cacheField name="Other Allowance" numFmtId="0">
      <sharedItems containsSemiMixedTypes="0" containsString="0" containsNumber="1" containsInteger="1" minValue="1500" maxValue="5500"/>
    </cacheField>
    <cacheField name="Gross Salary" numFmtId="0">
      <sharedItems containsSemiMixedTypes="0" containsString="0" containsNumber="1" containsInteger="1" minValue="43000" maxValue="126000"/>
    </cacheField>
    <cacheField name="PF" numFmtId="0">
      <sharedItems containsSemiMixedTypes="0" containsString="0" containsNumber="1" containsInteger="1" minValue="3000" maxValue="8500"/>
    </cacheField>
    <cacheField name="Tax" numFmtId="0">
      <sharedItems containsSemiMixedTypes="0" containsString="0" containsNumber="1" containsInteger="1" minValue="1500" maxValue="8000"/>
    </cacheField>
    <cacheField name="Other Deduction" numFmtId="0">
      <sharedItems containsSemiMixedTypes="0" containsString="0" containsNumber="1" containsInteger="1" minValue="250" maxValue="850"/>
    </cacheField>
    <cacheField name="Total Deduction" numFmtId="0">
      <sharedItems containsSemiMixedTypes="0" containsString="0" containsNumber="1" containsInteger="1" minValue="4750" maxValue="17350" count="71">
        <n v="8500"/>
        <n v="6600"/>
        <n v="7450"/>
        <n v="5950"/>
        <n v="9100"/>
        <n v="5300"/>
        <n v="6150"/>
        <n v="8250"/>
        <n v="7800"/>
        <n v="5600"/>
        <n v="13100"/>
        <n v="9900"/>
        <n v="11150"/>
        <n v="6350"/>
        <n v="9450"/>
        <n v="12300"/>
        <n v="7200"/>
        <n v="8550"/>
        <n v="8200"/>
        <n v="11800"/>
        <n v="6900"/>
        <n v="10500"/>
        <n v="6050"/>
        <n v="5850"/>
        <n v="7400"/>
        <n v="6650"/>
        <n v="6550"/>
        <n v="5200"/>
        <n v="11100"/>
        <n v="6250"/>
        <n v="13700"/>
        <n v="6000"/>
        <n v="11450"/>
        <n v="8000"/>
        <n v="6950"/>
        <n v="7150"/>
        <n v="10900"/>
        <n v="5400"/>
        <n v="8750"/>
        <n v="9350"/>
        <n v="6750"/>
        <n v="4750"/>
        <n v="5800"/>
        <n v="9150"/>
        <n v="7500"/>
        <n v="10200"/>
        <n v="11900"/>
        <n v="7700"/>
        <n v="7900"/>
        <n v="4850"/>
        <n v="11550"/>
        <n v="11200"/>
        <n v="13450"/>
        <n v="12700"/>
        <n v="14700"/>
        <n v="5700"/>
        <n v="12200"/>
        <n v="9250"/>
        <n v="9850"/>
        <n v="8400"/>
        <n v="12400"/>
        <n v="13650"/>
        <n v="8100"/>
        <n v="14200"/>
        <n v="15250"/>
        <n v="13250"/>
        <n v="16300"/>
        <n v="11000"/>
        <n v="10300"/>
        <n v="10700"/>
        <n v="17350"/>
      </sharedItems>
    </cacheField>
    <cacheField name="Net Salary" numFmtId="0">
      <sharedItems containsSemiMixedTypes="0" containsString="0" containsNumber="1" containsInteger="1" minValue="38250" maxValue="108650"/>
    </cacheField>
  </cacheFields>
  <extLst>
    <ext xmlns:x14="http://schemas.microsoft.com/office/spreadsheetml/2009/9/main" uri="{725AE2AE-9491-48be-B2B4-4EB974FC3084}">
      <x14:pivotCacheDefinition pivotCacheId="1499077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Rahul Patil"/>
    <x v="0"/>
    <x v="0"/>
    <x v="0"/>
    <d v="2021-03-15T00:00:00"/>
    <s v="Full Time"/>
    <x v="0"/>
    <x v="0"/>
    <n v="45000"/>
    <n v="9000"/>
    <n v="4500"/>
    <n v="5000"/>
    <n v="3000"/>
    <n v="66500"/>
    <n v="4500"/>
    <n v="3500"/>
    <n v="500"/>
    <x v="0"/>
    <n v="58000"/>
  </r>
  <r>
    <x v="1"/>
    <s v="Sneha Sharma"/>
    <x v="1"/>
    <x v="1"/>
    <x v="1"/>
    <d v="2022-07-22T00:00:00"/>
    <s v="Full Time"/>
    <x v="1"/>
    <x v="1"/>
    <n v="38000"/>
    <n v="7600"/>
    <n v="3800"/>
    <n v="4000"/>
    <n v="2500"/>
    <n v="55900"/>
    <n v="3800"/>
    <n v="2400"/>
    <n v="400"/>
    <x v="1"/>
    <n v="49300"/>
  </r>
  <r>
    <x v="2"/>
    <s v="Amit Shinde"/>
    <x v="0"/>
    <x v="2"/>
    <x v="2"/>
    <d v="2023-01-10T00:00:00"/>
    <s v="Full Time"/>
    <x v="2"/>
    <x v="2"/>
    <n v="42000"/>
    <n v="8400"/>
    <n v="4200"/>
    <n v="4500"/>
    <n v="2800"/>
    <n v="61900"/>
    <n v="4200"/>
    <n v="2800"/>
    <n v="450"/>
    <x v="2"/>
    <n v="54450"/>
  </r>
  <r>
    <x v="3"/>
    <s v="Priya Joshi"/>
    <x v="1"/>
    <x v="3"/>
    <x v="3"/>
    <d v="2024-09-18T00:00:00"/>
    <s v="Full Time"/>
    <x v="0"/>
    <x v="3"/>
    <n v="35000"/>
    <n v="7000"/>
    <n v="3500"/>
    <n v="3500"/>
    <n v="2200"/>
    <n v="51200"/>
    <n v="3500"/>
    <n v="2100"/>
    <n v="350"/>
    <x v="3"/>
    <n v="45250"/>
  </r>
  <r>
    <x v="4"/>
    <s v="Rohit More"/>
    <x v="0"/>
    <x v="0"/>
    <x v="4"/>
    <d v="2025-02-05T00:00:00"/>
    <s v="Full Time"/>
    <x v="3"/>
    <x v="4"/>
    <n v="48000"/>
    <n v="9600"/>
    <n v="4800"/>
    <n v="5000"/>
    <n v="3000"/>
    <n v="70400"/>
    <n v="4800"/>
    <n v="3800"/>
    <n v="500"/>
    <x v="4"/>
    <n v="61300"/>
  </r>
  <r>
    <x v="5"/>
    <s v="Neha Kulkarni"/>
    <x v="1"/>
    <x v="4"/>
    <x v="5"/>
    <d v="2023-06-27T00:00:00"/>
    <s v="Full Time"/>
    <x v="4"/>
    <x v="2"/>
    <n v="32000"/>
    <n v="6400"/>
    <n v="3200"/>
    <n v="3500"/>
    <n v="2000"/>
    <n v="47100"/>
    <n v="3200"/>
    <n v="1800"/>
    <n v="300"/>
    <x v="5"/>
    <n v="41800"/>
  </r>
  <r>
    <x v="6"/>
    <s v="Akash Pawar"/>
    <x v="0"/>
    <x v="5"/>
    <x v="6"/>
    <d v="2021-11-12T00:00:00"/>
    <s v="Full Time"/>
    <x v="0"/>
    <x v="1"/>
    <n v="36000"/>
    <n v="7200"/>
    <n v="3600"/>
    <n v="4000"/>
    <n v="2200"/>
    <n v="53000"/>
    <n v="3600"/>
    <n v="2200"/>
    <n v="350"/>
    <x v="6"/>
    <n v="46850"/>
  </r>
  <r>
    <x v="7"/>
    <s v="Pooja Deshmukh"/>
    <x v="1"/>
    <x v="2"/>
    <x v="7"/>
    <d v="2024-04-30T00:00:00"/>
    <s v="Full Time"/>
    <x v="1"/>
    <x v="3"/>
    <n v="46000"/>
    <n v="9200"/>
    <n v="4600"/>
    <n v="5000"/>
    <n v="3000"/>
    <n v="67800"/>
    <n v="4600"/>
    <n v="3200"/>
    <n v="450"/>
    <x v="7"/>
    <n v="59550"/>
  </r>
  <r>
    <x v="8"/>
    <s v="Sagar Jadhav"/>
    <x v="0"/>
    <x v="0"/>
    <x v="8"/>
    <d v="2025-08-19T00:00:00"/>
    <s v="Full Time"/>
    <x v="0"/>
    <x v="4"/>
    <n v="44000"/>
    <n v="8800"/>
    <n v="4400"/>
    <n v="4500"/>
    <n v="2800"/>
    <n v="64500"/>
    <n v="4400"/>
    <n v="3000"/>
    <n v="400"/>
    <x v="8"/>
    <n v="56700"/>
  </r>
  <r>
    <x v="9"/>
    <s v="Kavita Patil"/>
    <x v="1"/>
    <x v="1"/>
    <x v="9"/>
    <d v="2026-01-07T00:00:00"/>
    <s v="Full Time"/>
    <x v="2"/>
    <x v="5"/>
    <n v="34000"/>
    <n v="6800"/>
    <n v="3400"/>
    <n v="3000"/>
    <n v="2000"/>
    <n v="49200"/>
    <n v="3400"/>
    <n v="1900"/>
    <n v="300"/>
    <x v="9"/>
    <n v="43600"/>
  </r>
  <r>
    <x v="10"/>
    <s v="Vikas Chavan"/>
    <x v="0"/>
    <x v="0"/>
    <x v="10"/>
    <d v="2020-05-24T00:00:00"/>
    <s v="Full Time"/>
    <x v="0"/>
    <x v="6"/>
    <n v="65000"/>
    <n v="13000"/>
    <n v="6500"/>
    <n v="7000"/>
    <n v="4000"/>
    <n v="95500"/>
    <n v="6500"/>
    <n v="6000"/>
    <n v="600"/>
    <x v="10"/>
    <n v="82400"/>
  </r>
  <r>
    <x v="11"/>
    <s v="Swati Pawar"/>
    <x v="1"/>
    <x v="2"/>
    <x v="11"/>
    <d v="2022-10-16T00:00:00"/>
    <s v="Full Time"/>
    <x v="1"/>
    <x v="2"/>
    <n v="52000"/>
    <n v="10400"/>
    <n v="5200"/>
    <n v="5500"/>
    <n v="3200"/>
    <n v="76300"/>
    <n v="5200"/>
    <n v="4200"/>
    <n v="500"/>
    <x v="11"/>
    <n v="66400"/>
  </r>
  <r>
    <x v="12"/>
    <s v="Manish Shinde"/>
    <x v="0"/>
    <x v="4"/>
    <x v="12"/>
    <d v="2021-03-03T00:00:00"/>
    <s v="Full Time"/>
    <x v="3"/>
    <x v="0"/>
    <n v="58000"/>
    <n v="11600"/>
    <n v="5800"/>
    <n v="6500"/>
    <n v="3500"/>
    <n v="85400"/>
    <n v="5800"/>
    <n v="4800"/>
    <n v="550"/>
    <x v="12"/>
    <n v="74250"/>
  </r>
  <r>
    <x v="13"/>
    <s v="Rutuja More"/>
    <x v="1"/>
    <x v="3"/>
    <x v="13"/>
    <d v="2023-12-21T00:00:00"/>
    <s v="Full Time"/>
    <x v="0"/>
    <x v="3"/>
    <n v="37000"/>
    <n v="7400"/>
    <n v="3700"/>
    <n v="3500"/>
    <n v="2200"/>
    <n v="53800"/>
    <n v="3700"/>
    <n v="2300"/>
    <n v="350"/>
    <x v="13"/>
    <n v="47450"/>
  </r>
  <r>
    <x v="14"/>
    <s v="Nikhil Joshi"/>
    <x v="0"/>
    <x v="0"/>
    <x v="14"/>
    <d v="2024-06-09T00:00:00"/>
    <s v="Full Time"/>
    <x v="1"/>
    <x v="3"/>
    <n v="50000"/>
    <n v="10000"/>
    <n v="5000"/>
    <n v="5000"/>
    <n v="3000"/>
    <n v="73000"/>
    <n v="5000"/>
    <n v="4000"/>
    <n v="450"/>
    <x v="14"/>
    <n v="63550"/>
  </r>
  <r>
    <x v="15"/>
    <s v="Anjali Patil"/>
    <x v="1"/>
    <x v="1"/>
    <x v="15"/>
    <d v="2020-02-28T00:00:00"/>
    <s v="Full Time"/>
    <x v="0"/>
    <x v="6"/>
    <n v="62000"/>
    <n v="12400"/>
    <n v="6200"/>
    <n v="7000"/>
    <n v="4000"/>
    <n v="91600"/>
    <n v="6200"/>
    <n v="5500"/>
    <n v="600"/>
    <x v="15"/>
    <n v="79300"/>
  </r>
  <r>
    <x v="16"/>
    <s v="Swapnil Pawar"/>
    <x v="0"/>
    <x v="5"/>
    <x v="16"/>
    <d v="2022-07-14T00:00:00"/>
    <s v="Full Time"/>
    <x v="2"/>
    <x v="1"/>
    <n v="41000"/>
    <n v="8200"/>
    <n v="4100"/>
    <n v="4500"/>
    <n v="2500"/>
    <n v="60300"/>
    <n v="4100"/>
    <n v="2700"/>
    <n v="400"/>
    <x v="16"/>
    <n v="53100"/>
  </r>
  <r>
    <x v="17"/>
    <s v="Komal Jadhav"/>
    <x v="1"/>
    <x v="4"/>
    <x v="5"/>
    <d v="2025-01-25T00:00:00"/>
    <s v="Full Time"/>
    <x v="0"/>
    <x v="4"/>
    <n v="33000"/>
    <n v="6600"/>
    <n v="3300"/>
    <n v="3000"/>
    <n v="1800"/>
    <n v="47700"/>
    <n v="3300"/>
    <n v="1700"/>
    <n v="300"/>
    <x v="5"/>
    <n v="42400"/>
  </r>
  <r>
    <x v="18"/>
    <s v="Tejas Deshmukh"/>
    <x v="0"/>
    <x v="2"/>
    <x v="17"/>
    <d v="2021-09-11T00:00:00"/>
    <s v="Full Time"/>
    <x v="1"/>
    <x v="0"/>
    <n v="47000"/>
    <n v="9400"/>
    <n v="4700"/>
    <n v="5000"/>
    <n v="2800"/>
    <n v="68900"/>
    <n v="4700"/>
    <n v="3400"/>
    <n v="450"/>
    <x v="17"/>
    <n v="60350"/>
  </r>
  <r>
    <x v="19"/>
    <s v="Mayuri Shinde"/>
    <x v="1"/>
    <x v="0"/>
    <x v="18"/>
    <d v="2023-04-06T00:00:00"/>
    <s v="Full Time"/>
    <x v="0"/>
    <x v="2"/>
    <n v="46000"/>
    <n v="9200"/>
    <n v="4600"/>
    <n v="4500"/>
    <n v="2800"/>
    <n v="67100"/>
    <n v="4600"/>
    <n v="3200"/>
    <n v="400"/>
    <x v="18"/>
    <n v="58900"/>
  </r>
  <r>
    <x v="20"/>
    <s v="Prasad More"/>
    <x v="0"/>
    <x v="3"/>
    <x v="19"/>
    <d v="2020-08-17T00:00:00"/>
    <s v="Full Time"/>
    <x v="3"/>
    <x v="6"/>
    <n v="60000"/>
    <n v="12000"/>
    <n v="6000"/>
    <n v="7000"/>
    <n v="4000"/>
    <n v="89000"/>
    <n v="6000"/>
    <n v="5200"/>
    <n v="600"/>
    <x v="19"/>
    <n v="77200"/>
  </r>
  <r>
    <x v="21"/>
    <s v="Shreya Patil"/>
    <x v="1"/>
    <x v="2"/>
    <x v="2"/>
    <d v="2024-11-29T00:00:00"/>
    <s v="Full Time"/>
    <x v="0"/>
    <x v="4"/>
    <n v="40000"/>
    <n v="8000"/>
    <n v="4000"/>
    <n v="4000"/>
    <n v="2500"/>
    <n v="58500"/>
    <n v="4000"/>
    <n v="2500"/>
    <n v="400"/>
    <x v="20"/>
    <n v="51600"/>
  </r>
  <r>
    <x v="22"/>
    <s v="Omkar Kulkarni"/>
    <x v="0"/>
    <x v="0"/>
    <x v="20"/>
    <d v="2022-02-13T00:00:00"/>
    <s v="Full Time"/>
    <x v="1"/>
    <x v="1"/>
    <n v="55000"/>
    <n v="11000"/>
    <n v="5500"/>
    <n v="6000"/>
    <n v="3500"/>
    <n v="81000"/>
    <n v="5500"/>
    <n v="4500"/>
    <n v="500"/>
    <x v="21"/>
    <n v="70500"/>
  </r>
  <r>
    <x v="23"/>
    <s v="Deepali Pawar"/>
    <x v="1"/>
    <x v="1"/>
    <x v="1"/>
    <d v="2025-10-08T00:00:00"/>
    <s v="Full Time"/>
    <x v="2"/>
    <x v="5"/>
    <n v="36000"/>
    <n v="7200"/>
    <n v="3600"/>
    <n v="3500"/>
    <n v="2000"/>
    <n v="52300"/>
    <n v="3600"/>
    <n v="2100"/>
    <n v="350"/>
    <x v="22"/>
    <n v="46250"/>
  </r>
  <r>
    <x v="24"/>
    <s v="Akshay Shinde"/>
    <x v="0"/>
    <x v="4"/>
    <x v="5"/>
    <d v="2023-05-20T00:00:00"/>
    <s v="Full Time"/>
    <x v="0"/>
    <x v="2"/>
    <n v="35000"/>
    <n v="7000"/>
    <n v="3500"/>
    <n v="4000"/>
    <n v="2200"/>
    <n v="51700"/>
    <n v="3500"/>
    <n v="2000"/>
    <n v="350"/>
    <x v="23"/>
    <n v="45850"/>
  </r>
  <r>
    <x v="25"/>
    <s v="Riya Sharma"/>
    <x v="1"/>
    <x v="0"/>
    <x v="21"/>
    <d v="2022-03-23T00:00:00"/>
    <s v="Full Time"/>
    <x v="0"/>
    <x v="1"/>
    <n v="42000"/>
    <n v="8400"/>
    <n v="4200"/>
    <n v="4500"/>
    <n v="2500"/>
    <n v="61600"/>
    <n v="4200"/>
    <n v="2800"/>
    <n v="400"/>
    <x v="24"/>
    <n v="54200"/>
  </r>
  <r>
    <x v="26"/>
    <s v="Kunal Patil"/>
    <x v="0"/>
    <x v="2"/>
    <x v="22"/>
    <d v="2021-06-15T00:00:00"/>
    <s v="Full Time"/>
    <x v="1"/>
    <x v="0"/>
    <n v="39000"/>
    <n v="7800"/>
    <n v="3900"/>
    <n v="4000"/>
    <n v="2300"/>
    <n v="57000"/>
    <n v="3900"/>
    <n v="2400"/>
    <n v="350"/>
    <x v="25"/>
    <n v="50350"/>
  </r>
  <r>
    <x v="27"/>
    <s v="Sonal More"/>
    <x v="1"/>
    <x v="3"/>
    <x v="23"/>
    <d v="2023-12-02T00:00:00"/>
    <s v="Full Time"/>
    <x v="0"/>
    <x v="3"/>
    <n v="38000"/>
    <n v="7600"/>
    <n v="3800"/>
    <n v="4000"/>
    <n v="2400"/>
    <n v="55800"/>
    <n v="3800"/>
    <n v="2400"/>
    <n v="350"/>
    <x v="26"/>
    <n v="49250"/>
  </r>
  <r>
    <x v="28"/>
    <s v="Ajay Pawar"/>
    <x v="0"/>
    <x v="5"/>
    <x v="24"/>
    <d v="2024-01-19T00:00:00"/>
    <s v="Full Time"/>
    <x v="2"/>
    <x v="3"/>
    <n v="34000"/>
    <n v="6800"/>
    <n v="3400"/>
    <n v="3500"/>
    <n v="2000"/>
    <n v="49700"/>
    <n v="3400"/>
    <n v="1900"/>
    <n v="300"/>
    <x v="9"/>
    <n v="44100"/>
  </r>
  <r>
    <x v="29"/>
    <s v="Pallavi Joshi"/>
    <x v="1"/>
    <x v="4"/>
    <x v="25"/>
    <d v="2025-07-07T00:00:00"/>
    <s v="Full Time"/>
    <x v="0"/>
    <x v="4"/>
    <n v="32000"/>
    <n v="6400"/>
    <n v="3200"/>
    <n v="3000"/>
    <n v="1800"/>
    <n v="46400"/>
    <n v="3200"/>
    <n v="1700"/>
    <n v="300"/>
    <x v="27"/>
    <n v="41200"/>
  </r>
  <r>
    <x v="30"/>
    <s v="Rajesh Deshmukh"/>
    <x v="0"/>
    <x v="0"/>
    <x v="26"/>
    <d v="2020-04-11T00:00:00"/>
    <s v="Full Time"/>
    <x v="1"/>
    <x v="6"/>
    <n v="58000"/>
    <n v="11600"/>
    <n v="5800"/>
    <n v="6500"/>
    <n v="3500"/>
    <n v="85400"/>
    <n v="5800"/>
    <n v="4800"/>
    <n v="500"/>
    <x v="28"/>
    <n v="74300"/>
  </r>
  <r>
    <x v="31"/>
    <s v="Manisha Kulkarni"/>
    <x v="1"/>
    <x v="1"/>
    <x v="27"/>
    <d v="2022-09-26T00:00:00"/>
    <s v="Full Time"/>
    <x v="0"/>
    <x v="2"/>
    <n v="37000"/>
    <n v="7400"/>
    <n v="3700"/>
    <n v="3500"/>
    <n v="2200"/>
    <n v="53800"/>
    <n v="3700"/>
    <n v="2200"/>
    <n v="350"/>
    <x v="29"/>
    <n v="47550"/>
  </r>
  <r>
    <x v="32"/>
    <s v="Abhishek More"/>
    <x v="0"/>
    <x v="2"/>
    <x v="28"/>
    <d v="2019-02-04T00:00:00"/>
    <s v="Full Time"/>
    <x v="3"/>
    <x v="7"/>
    <n v="68000"/>
    <n v="13600"/>
    <n v="6800"/>
    <n v="7500"/>
    <n v="4000"/>
    <n v="99900"/>
    <n v="6800"/>
    <n v="6200"/>
    <n v="700"/>
    <x v="30"/>
    <n v="86200"/>
  </r>
  <r>
    <x v="33"/>
    <s v="Swara Patil"/>
    <x v="1"/>
    <x v="3"/>
    <x v="29"/>
    <d v="2024-05-18T00:00:00"/>
    <s v="Full Time"/>
    <x v="0"/>
    <x v="3"/>
    <n v="36000"/>
    <n v="7200"/>
    <n v="3600"/>
    <n v="3500"/>
    <n v="2000"/>
    <n v="52300"/>
    <n v="3600"/>
    <n v="2100"/>
    <n v="300"/>
    <x v="31"/>
    <n v="46300"/>
  </r>
  <r>
    <x v="34"/>
    <s v="Mahesh Shinde"/>
    <x v="0"/>
    <x v="4"/>
    <x v="12"/>
    <d v="2021-10-30T00:00:00"/>
    <s v="Full Time"/>
    <x v="1"/>
    <x v="1"/>
    <n v="59000"/>
    <n v="11800"/>
    <n v="5900"/>
    <n v="6500"/>
    <n v="3500"/>
    <n v="86700"/>
    <n v="5900"/>
    <n v="5000"/>
    <n v="550"/>
    <x v="32"/>
    <n v="75250"/>
  </r>
  <r>
    <x v="35"/>
    <s v="Shital Pawar"/>
    <x v="1"/>
    <x v="0"/>
    <x v="30"/>
    <d v="2023-03-12T00:00:00"/>
    <s v="Full Time"/>
    <x v="0"/>
    <x v="2"/>
    <n v="45000"/>
    <n v="9000"/>
    <n v="4500"/>
    <n v="4500"/>
    <n v="2700"/>
    <n v="65700"/>
    <n v="4500"/>
    <n v="3100"/>
    <n v="400"/>
    <x v="33"/>
    <n v="57700"/>
  </r>
  <r>
    <x v="36"/>
    <s v="Sachin Jadhav"/>
    <x v="0"/>
    <x v="5"/>
    <x v="31"/>
    <d v="2022-08-21T00:00:00"/>
    <s v="Full Time"/>
    <x v="2"/>
    <x v="1"/>
    <n v="40000"/>
    <n v="8000"/>
    <n v="4000"/>
    <n v="4000"/>
    <n v="2300"/>
    <n v="58300"/>
    <n v="4000"/>
    <n v="2600"/>
    <n v="350"/>
    <x v="34"/>
    <n v="51350"/>
  </r>
  <r>
    <x v="37"/>
    <s v="Monika Sharma"/>
    <x v="1"/>
    <x v="2"/>
    <x v="2"/>
    <d v="2025-12-09T00:00:00"/>
    <s v="Full Time"/>
    <x v="0"/>
    <x v="5"/>
    <n v="41000"/>
    <n v="8200"/>
    <n v="4100"/>
    <n v="4000"/>
    <n v="2500"/>
    <n v="59800"/>
    <n v="4100"/>
    <n v="2700"/>
    <n v="350"/>
    <x v="35"/>
    <n v="52650"/>
  </r>
  <r>
    <x v="38"/>
    <s v="Rohan Patil"/>
    <x v="0"/>
    <x v="0"/>
    <x v="32"/>
    <d v="2021-01-16T00:00:00"/>
    <s v="Full Time"/>
    <x v="1"/>
    <x v="0"/>
    <n v="57000"/>
    <n v="11400"/>
    <n v="5700"/>
    <n v="6000"/>
    <n v="3500"/>
    <n v="83600"/>
    <n v="5700"/>
    <n v="4700"/>
    <n v="500"/>
    <x v="36"/>
    <n v="72700"/>
  </r>
  <r>
    <x v="39"/>
    <s v="Aarti More"/>
    <x v="1"/>
    <x v="4"/>
    <x v="5"/>
    <d v="2024-06-28T00:00:00"/>
    <s v="Full Time"/>
    <x v="0"/>
    <x v="3"/>
    <n v="34000"/>
    <n v="6800"/>
    <n v="3400"/>
    <n v="3500"/>
    <n v="2000"/>
    <n v="49700"/>
    <n v="3400"/>
    <n v="1900"/>
    <n v="300"/>
    <x v="9"/>
    <n v="44100"/>
  </r>
  <r>
    <x v="40"/>
    <s v="Vinay Pawar"/>
    <x v="0"/>
    <x v="1"/>
    <x v="33"/>
    <d v="2023-04-05T00:00:00"/>
    <s v="Full Time"/>
    <x v="3"/>
    <x v="2"/>
    <n v="33000"/>
    <n v="6600"/>
    <n v="3300"/>
    <n v="3000"/>
    <n v="1800"/>
    <n v="47700"/>
    <n v="3300"/>
    <n v="1800"/>
    <n v="300"/>
    <x v="37"/>
    <n v="42300"/>
  </r>
  <r>
    <x v="41"/>
    <s v="Smita Joshi"/>
    <x v="1"/>
    <x v="3"/>
    <x v="34"/>
    <d v="2020-09-17T00:00:00"/>
    <s v="Full Time"/>
    <x v="0"/>
    <x v="6"/>
    <n v="48000"/>
    <n v="9600"/>
    <n v="4800"/>
    <n v="5000"/>
    <n v="3000"/>
    <n v="70400"/>
    <n v="4800"/>
    <n v="3500"/>
    <n v="450"/>
    <x v="38"/>
    <n v="61650"/>
  </r>
  <r>
    <x v="42"/>
    <s v="Pratik Deshmukh"/>
    <x v="0"/>
    <x v="2"/>
    <x v="7"/>
    <d v="2022-02-24T00:00:00"/>
    <s v="Full Time"/>
    <x v="1"/>
    <x v="1"/>
    <n v="50000"/>
    <n v="10000"/>
    <n v="5000"/>
    <n v="5500"/>
    <n v="3200"/>
    <n v="73700"/>
    <n v="5000"/>
    <n v="3900"/>
    <n v="450"/>
    <x v="39"/>
    <n v="64350"/>
  </r>
  <r>
    <x v="43"/>
    <s v="Swati More"/>
    <x v="1"/>
    <x v="0"/>
    <x v="8"/>
    <d v="2024-11-13T00:00:00"/>
    <s v="Full Time"/>
    <x v="0"/>
    <x v="4"/>
    <n v="46000"/>
    <n v="9200"/>
    <n v="4600"/>
    <n v="4500"/>
    <n v="2700"/>
    <n v="67000"/>
    <n v="4600"/>
    <n v="3200"/>
    <n v="400"/>
    <x v="18"/>
    <n v="58800"/>
  </r>
  <r>
    <x v="44"/>
    <s v="Nilesh Patil"/>
    <x v="0"/>
    <x v="4"/>
    <x v="35"/>
    <d v="2023-07-06T00:00:00"/>
    <s v="Full Time"/>
    <x v="2"/>
    <x v="2"/>
    <n v="39000"/>
    <n v="7800"/>
    <n v="3900"/>
    <n v="4500"/>
    <n v="2500"/>
    <n v="57700"/>
    <n v="3900"/>
    <n v="2500"/>
    <n v="350"/>
    <x v="40"/>
    <n v="50950"/>
  </r>
  <r>
    <x v="45"/>
    <s v="Poonam Shinde"/>
    <x v="1"/>
    <x v="5"/>
    <x v="36"/>
    <d v="2025-03-20T00:00:00"/>
    <s v="Full Time"/>
    <x v="0"/>
    <x v="4"/>
    <n v="30000"/>
    <n v="6000"/>
    <n v="3000"/>
    <n v="2500"/>
    <n v="1500"/>
    <n v="43000"/>
    <n v="3000"/>
    <n v="1500"/>
    <n v="250"/>
    <x v="41"/>
    <n v="38250"/>
  </r>
  <r>
    <x v="46"/>
    <s v="Shubham Pawar"/>
    <x v="0"/>
    <x v="0"/>
    <x v="37"/>
    <d v="2021-08-08T00:00:00"/>
    <s v="Full Time"/>
    <x v="1"/>
    <x v="0"/>
    <n v="62000"/>
    <n v="12400"/>
    <n v="6200"/>
    <n v="7000"/>
    <n v="4000"/>
    <n v="91600"/>
    <n v="6200"/>
    <n v="5500"/>
    <n v="600"/>
    <x v="15"/>
    <n v="79300"/>
  </r>
  <r>
    <x v="47"/>
    <s v="Rekha Kulkarni"/>
    <x v="1"/>
    <x v="1"/>
    <x v="1"/>
    <d v="2023-10-29T00:00:00"/>
    <s v="Full Time"/>
    <x v="0"/>
    <x v="3"/>
    <n v="38000"/>
    <n v="7600"/>
    <n v="3800"/>
    <n v="4000"/>
    <n v="2300"/>
    <n v="55700"/>
    <n v="3800"/>
    <n v="2400"/>
    <n v="350"/>
    <x v="26"/>
    <n v="49150"/>
  </r>
  <r>
    <x v="48"/>
    <s v="Manoj Jadhav"/>
    <x v="0"/>
    <x v="2"/>
    <x v="11"/>
    <d v="2020-05-14T00:00:00"/>
    <s v="Full Time"/>
    <x v="3"/>
    <x v="6"/>
    <n v="55000"/>
    <n v="11000"/>
    <n v="5500"/>
    <n v="6000"/>
    <n v="3500"/>
    <n v="81000"/>
    <n v="5500"/>
    <n v="4500"/>
    <n v="500"/>
    <x v="21"/>
    <n v="70500"/>
  </r>
  <r>
    <x v="49"/>
    <s v="Ankita Sharma"/>
    <x v="1"/>
    <x v="3"/>
    <x v="3"/>
    <d v="2026-01-03T00:00:00"/>
    <s v="Full Time"/>
    <x v="0"/>
    <x v="5"/>
    <n v="35000"/>
    <n v="7000"/>
    <n v="3500"/>
    <n v="3500"/>
    <n v="2000"/>
    <n v="51000"/>
    <n v="3500"/>
    <n v="2000"/>
    <n v="300"/>
    <x v="42"/>
    <n v="45200"/>
  </r>
  <r>
    <x v="50"/>
    <s v="Ganesh Patil"/>
    <x v="0"/>
    <x v="0"/>
    <x v="0"/>
    <d v="2022-04-22T00:00:00"/>
    <s v="Full Time"/>
    <x v="1"/>
    <x v="1"/>
    <n v="49000"/>
    <n v="9800"/>
    <n v="4900"/>
    <n v="5000"/>
    <n v="3000"/>
    <n v="71700"/>
    <n v="4900"/>
    <n v="3800"/>
    <n v="450"/>
    <x v="43"/>
    <n v="62550"/>
  </r>
  <r>
    <x v="51"/>
    <s v="Madhuri More"/>
    <x v="1"/>
    <x v="4"/>
    <x v="5"/>
    <d v="2024-06-11T00:00:00"/>
    <s v="Full Time"/>
    <x v="0"/>
    <x v="3"/>
    <n v="33000"/>
    <n v="6600"/>
    <n v="3300"/>
    <n v="3000"/>
    <n v="1800"/>
    <n v="47700"/>
    <n v="3300"/>
    <n v="1800"/>
    <n v="300"/>
    <x v="37"/>
    <n v="42300"/>
  </r>
  <r>
    <x v="52"/>
    <s v="Sunil Pawar"/>
    <x v="0"/>
    <x v="5"/>
    <x v="6"/>
    <d v="2021-09-27T00:00:00"/>
    <s v="Full Time"/>
    <x v="2"/>
    <x v="1"/>
    <n v="39000"/>
    <n v="7800"/>
    <n v="3900"/>
    <n v="4000"/>
    <n v="2300"/>
    <n v="57000"/>
    <n v="3900"/>
    <n v="2500"/>
    <n v="350"/>
    <x v="40"/>
    <n v="50250"/>
  </r>
  <r>
    <x v="53"/>
    <s v="Radhika Joshi"/>
    <x v="1"/>
    <x v="2"/>
    <x v="2"/>
    <d v="2025-02-15T00:00:00"/>
    <s v="Full Time"/>
    <x v="0"/>
    <x v="4"/>
    <n v="42000"/>
    <n v="8400"/>
    <n v="4200"/>
    <n v="4500"/>
    <n v="2700"/>
    <n v="61800"/>
    <n v="4200"/>
    <n v="2900"/>
    <n v="400"/>
    <x v="44"/>
    <n v="54300"/>
  </r>
  <r>
    <x v="54"/>
    <s v="Deepak Shinde"/>
    <x v="0"/>
    <x v="0"/>
    <x v="38"/>
    <d v="2020-07-09T00:00:00"/>
    <s v="Full Time"/>
    <x v="1"/>
    <x v="6"/>
    <n v="54000"/>
    <n v="10800"/>
    <n v="5400"/>
    <n v="6000"/>
    <n v="3500"/>
    <n v="79700"/>
    <n v="5400"/>
    <n v="4300"/>
    <n v="500"/>
    <x v="45"/>
    <n v="69500"/>
  </r>
  <r>
    <x v="55"/>
    <s v="Varsha Patil"/>
    <x v="1"/>
    <x v="1"/>
    <x v="9"/>
    <d v="2022-11-18T00:00:00"/>
    <s v="Full Time"/>
    <x v="0"/>
    <x v="2"/>
    <n v="36000"/>
    <n v="7200"/>
    <n v="3600"/>
    <n v="3500"/>
    <n v="2000"/>
    <n v="52300"/>
    <n v="3600"/>
    <n v="2100"/>
    <n v="300"/>
    <x v="31"/>
    <n v="46300"/>
  </r>
  <r>
    <x v="56"/>
    <s v="Sandeep More"/>
    <x v="0"/>
    <x v="4"/>
    <x v="12"/>
    <d v="2019-03-04T00:00:00"/>
    <s v="Full Time"/>
    <x v="3"/>
    <x v="7"/>
    <n v="61000"/>
    <n v="12200"/>
    <n v="6100"/>
    <n v="7000"/>
    <n v="4000"/>
    <n v="90300"/>
    <n v="6100"/>
    <n v="5200"/>
    <n v="600"/>
    <x v="46"/>
    <n v="78400"/>
  </r>
  <r>
    <x v="57"/>
    <s v="Minal Pawar"/>
    <x v="1"/>
    <x v="3"/>
    <x v="39"/>
    <d v="2025-08-23T00:00:00"/>
    <s v="Full Time"/>
    <x v="0"/>
    <x v="4"/>
    <n v="37000"/>
    <n v="7400"/>
    <n v="3700"/>
    <n v="3500"/>
    <n v="2200"/>
    <n v="53800"/>
    <n v="3700"/>
    <n v="2200"/>
    <n v="350"/>
    <x v="29"/>
    <n v="47550"/>
  </r>
  <r>
    <x v="58"/>
    <s v="Amol Deshmukh"/>
    <x v="0"/>
    <x v="2"/>
    <x v="22"/>
    <d v="2023-12-16T00:00:00"/>
    <s v="Full Time"/>
    <x v="1"/>
    <x v="3"/>
    <n v="43000"/>
    <n v="8600"/>
    <n v="4300"/>
    <n v="4500"/>
    <n v="2700"/>
    <n v="63100"/>
    <n v="4300"/>
    <n v="3000"/>
    <n v="400"/>
    <x v="47"/>
    <n v="55400"/>
  </r>
  <r>
    <x v="59"/>
    <s v="Sonali Patil"/>
    <x v="1"/>
    <x v="0"/>
    <x v="40"/>
    <d v="2024-05-07T00:00:00"/>
    <s v="Full Time"/>
    <x v="0"/>
    <x v="3"/>
    <n v="44000"/>
    <n v="8800"/>
    <n v="4400"/>
    <n v="4500"/>
    <n v="2700"/>
    <n v="64400"/>
    <n v="4400"/>
    <n v="3100"/>
    <n v="400"/>
    <x v="48"/>
    <n v="56500"/>
  </r>
  <r>
    <x v="60"/>
    <s v="Vishal Shinde"/>
    <x v="0"/>
    <x v="5"/>
    <x v="41"/>
    <d v="2021-01-25T00:00:00"/>
    <s v="Full Time"/>
    <x v="2"/>
    <x v="0"/>
    <n v="31000"/>
    <n v="6200"/>
    <n v="3100"/>
    <n v="2500"/>
    <n v="1500"/>
    <n v="44300"/>
    <n v="3100"/>
    <n v="1500"/>
    <n v="250"/>
    <x v="49"/>
    <n v="39450"/>
  </r>
  <r>
    <x v="61"/>
    <s v="Manasi Kulkarni"/>
    <x v="1"/>
    <x v="4"/>
    <x v="25"/>
    <d v="2022-10-12T00:00:00"/>
    <s v="Full Time"/>
    <x v="0"/>
    <x v="2"/>
    <n v="35000"/>
    <n v="7000"/>
    <n v="3500"/>
    <n v="3500"/>
    <n v="2000"/>
    <n v="51000"/>
    <n v="3500"/>
    <n v="2000"/>
    <n v="300"/>
    <x v="42"/>
    <n v="45200"/>
  </r>
  <r>
    <x v="62"/>
    <s v="Pravin More"/>
    <x v="0"/>
    <x v="0"/>
    <x v="42"/>
    <d v="2020-06-30T00:00:00"/>
    <s v="Full Time"/>
    <x v="1"/>
    <x v="6"/>
    <n v="60000"/>
    <n v="12000"/>
    <n v="6000"/>
    <n v="6500"/>
    <n v="4000"/>
    <n v="88500"/>
    <n v="6000"/>
    <n v="5000"/>
    <n v="550"/>
    <x v="50"/>
    <n v="76950"/>
  </r>
  <r>
    <x v="63"/>
    <s v="Tejal Pawar"/>
    <x v="1"/>
    <x v="1"/>
    <x v="15"/>
    <d v="2021-02-19T00:00:00"/>
    <s v="Full Time"/>
    <x v="0"/>
    <x v="0"/>
    <n v="59000"/>
    <n v="11800"/>
    <n v="5900"/>
    <n v="6500"/>
    <n v="3500"/>
    <n v="86700"/>
    <n v="5900"/>
    <n v="4800"/>
    <n v="500"/>
    <x v="51"/>
    <n v="75500"/>
  </r>
  <r>
    <x v="64"/>
    <s v="Suresh Jadhav"/>
    <x v="0"/>
    <x v="2"/>
    <x v="28"/>
    <d v="2019-09-06T00:00:00"/>
    <s v="Full Time"/>
    <x v="3"/>
    <x v="7"/>
    <n v="67000"/>
    <n v="13400"/>
    <n v="6700"/>
    <n v="7500"/>
    <n v="4000"/>
    <n v="98600"/>
    <n v="6700"/>
    <n v="6100"/>
    <n v="650"/>
    <x v="52"/>
    <n v="85150"/>
  </r>
  <r>
    <x v="65"/>
    <s v="Neha Sharma"/>
    <x v="1"/>
    <x v="3"/>
    <x v="3"/>
    <d v="2023-04-28T00:00:00"/>
    <s v="Full Time"/>
    <x v="0"/>
    <x v="2"/>
    <n v="38000"/>
    <n v="7600"/>
    <n v="3800"/>
    <n v="4000"/>
    <n v="2300"/>
    <n v="55700"/>
    <n v="3800"/>
    <n v="2400"/>
    <n v="350"/>
    <x v="26"/>
    <n v="49150"/>
  </r>
  <r>
    <x v="66"/>
    <s v="Yogesh Patil"/>
    <x v="0"/>
    <x v="0"/>
    <x v="43"/>
    <d v="2022-07-17T00:00:00"/>
    <s v="Full Time"/>
    <x v="1"/>
    <x v="1"/>
    <n v="65000"/>
    <n v="13000"/>
    <n v="6500"/>
    <n v="7000"/>
    <n v="4000"/>
    <n v="95500"/>
    <n v="6500"/>
    <n v="5600"/>
    <n v="600"/>
    <x v="53"/>
    <n v="82800"/>
  </r>
  <r>
    <x v="67"/>
    <s v="Ashwini More"/>
    <x v="1"/>
    <x v="4"/>
    <x v="5"/>
    <d v="2025-11-03T00:00:00"/>
    <s v="Full Time"/>
    <x v="0"/>
    <x v="5"/>
    <n v="33000"/>
    <n v="6600"/>
    <n v="3300"/>
    <n v="3000"/>
    <n v="1800"/>
    <n v="47700"/>
    <n v="3300"/>
    <n v="1800"/>
    <n v="300"/>
    <x v="37"/>
    <n v="42300"/>
  </r>
  <r>
    <x v="68"/>
    <s v="Mukesh Pawar"/>
    <x v="0"/>
    <x v="5"/>
    <x v="44"/>
    <d v="2020-03-14T00:00:00"/>
    <s v="Full Time"/>
    <x v="2"/>
    <x v="6"/>
    <n v="56000"/>
    <n v="11200"/>
    <n v="5600"/>
    <n v="6000"/>
    <n v="3500"/>
    <n v="82300"/>
    <n v="5600"/>
    <n v="4400"/>
    <n v="500"/>
    <x v="21"/>
    <n v="71800"/>
  </r>
  <r>
    <x v="69"/>
    <s v="Shubhangi Patil"/>
    <x v="1"/>
    <x v="2"/>
    <x v="2"/>
    <d v="2024-08-21T00:00:00"/>
    <s v="Full Time"/>
    <x v="0"/>
    <x v="3"/>
    <n v="41000"/>
    <n v="8200"/>
    <n v="4100"/>
    <n v="4000"/>
    <n v="2500"/>
    <n v="59800"/>
    <n v="4100"/>
    <n v="2700"/>
    <n v="350"/>
    <x v="35"/>
    <n v="52650"/>
  </r>
  <r>
    <x v="70"/>
    <s v="Ramesh Shinde"/>
    <x v="0"/>
    <x v="0"/>
    <x v="45"/>
    <d v="2018-12-09T00:00:00"/>
    <s v="Full Time"/>
    <x v="1"/>
    <x v="7"/>
    <n v="72000"/>
    <n v="14400"/>
    <n v="7200"/>
    <n v="8000"/>
    <n v="4500"/>
    <n v="106100"/>
    <n v="7200"/>
    <n v="6800"/>
    <n v="700"/>
    <x v="54"/>
    <n v="91400"/>
  </r>
  <r>
    <x v="71"/>
    <s v="Prachi Joshi"/>
    <x v="1"/>
    <x v="1"/>
    <x v="1"/>
    <d v="2025-05-26T00:00:00"/>
    <s v="Full Time"/>
    <x v="0"/>
    <x v="4"/>
    <n v="35000"/>
    <n v="7000"/>
    <n v="3500"/>
    <n v="3000"/>
    <n v="1800"/>
    <n v="50300"/>
    <n v="3500"/>
    <n v="1900"/>
    <n v="300"/>
    <x v="55"/>
    <n v="44600"/>
  </r>
  <r>
    <x v="72"/>
    <s v="Mahendra More"/>
    <x v="0"/>
    <x v="4"/>
    <x v="46"/>
    <d v="2021-01-18T00:00:00"/>
    <s v="Full Time"/>
    <x v="3"/>
    <x v="0"/>
    <n v="62000"/>
    <n v="12400"/>
    <n v="6200"/>
    <n v="7000"/>
    <n v="4000"/>
    <n v="91600"/>
    <n v="6200"/>
    <n v="5400"/>
    <n v="600"/>
    <x v="56"/>
    <n v="79400"/>
  </r>
  <r>
    <x v="73"/>
    <s v="Rashmi Pawar"/>
    <x v="1"/>
    <x v="3"/>
    <x v="47"/>
    <d v="2023-10-07T00:00:00"/>
    <s v="Full Time"/>
    <x v="0"/>
    <x v="3"/>
    <n v="50000"/>
    <n v="10000"/>
    <n v="5000"/>
    <n v="5500"/>
    <n v="3200"/>
    <n v="73700"/>
    <n v="5000"/>
    <n v="3800"/>
    <n v="450"/>
    <x v="57"/>
    <n v="64450"/>
  </r>
  <r>
    <x v="74"/>
    <s v="Santosh Jadhav"/>
    <x v="0"/>
    <x v="2"/>
    <x v="7"/>
    <d v="2022-06-13T00:00:00"/>
    <s v="Full Time"/>
    <x v="1"/>
    <x v="1"/>
    <n v="52000"/>
    <n v="10400"/>
    <n v="5200"/>
    <n v="5500"/>
    <n v="3200"/>
    <n v="76300"/>
    <n v="5200"/>
    <n v="4200"/>
    <n v="450"/>
    <x v="58"/>
    <n v="66450"/>
  </r>
  <r>
    <x v="75"/>
    <s v="Snehal Patil"/>
    <x v="1"/>
    <x v="0"/>
    <x v="4"/>
    <d v="2024-09-29T00:00:00"/>
    <s v="Full Time"/>
    <x v="0"/>
    <x v="4"/>
    <n v="47000"/>
    <n v="9400"/>
    <n v="4700"/>
    <n v="4500"/>
    <n v="2800"/>
    <n v="68400"/>
    <n v="4700"/>
    <n v="3300"/>
    <n v="400"/>
    <x v="59"/>
    <n v="60000"/>
  </r>
  <r>
    <x v="76"/>
    <s v="Rajendra Shinde"/>
    <x v="0"/>
    <x v="5"/>
    <x v="48"/>
    <d v="2019-02-22T00:00:00"/>
    <s v="Full Time"/>
    <x v="2"/>
    <x v="7"/>
    <n v="60000"/>
    <n v="12000"/>
    <n v="6000"/>
    <n v="6500"/>
    <n v="3500"/>
    <n v="88000"/>
    <n v="6000"/>
    <n v="5000"/>
    <n v="550"/>
    <x v="50"/>
    <n v="76450"/>
  </r>
  <r>
    <x v="77"/>
    <s v="Monali More"/>
    <x v="1"/>
    <x v="4"/>
    <x v="5"/>
    <d v="2026-04-11T00:00:00"/>
    <s v="Full Time"/>
    <x v="0"/>
    <x v="5"/>
    <n v="32000"/>
    <n v="6400"/>
    <n v="3200"/>
    <n v="3000"/>
    <n v="1800"/>
    <n v="46400"/>
    <n v="3200"/>
    <n v="1700"/>
    <n v="300"/>
    <x v="27"/>
    <n v="41200"/>
  </r>
  <r>
    <x v="78"/>
    <s v="Hemant Pawar"/>
    <x v="0"/>
    <x v="3"/>
    <x v="19"/>
    <d v="2020-08-05T00:00:00"/>
    <s v="Full Time"/>
    <x v="1"/>
    <x v="6"/>
    <n v="63000"/>
    <n v="12600"/>
    <n v="6300"/>
    <n v="7000"/>
    <n v="4000"/>
    <n v="92900"/>
    <n v="6300"/>
    <n v="5500"/>
    <n v="600"/>
    <x v="60"/>
    <n v="80500"/>
  </r>
  <r>
    <x v="79"/>
    <s v="Archana Kulkarni"/>
    <x v="1"/>
    <x v="2"/>
    <x v="11"/>
    <d v="2025-11-16T00:00:00"/>
    <s v="Full Time"/>
    <x v="0"/>
    <x v="5"/>
    <n v="44000"/>
    <n v="8800"/>
    <n v="4400"/>
    <n v="4500"/>
    <n v="2700"/>
    <n v="64400"/>
    <n v="4400"/>
    <n v="3000"/>
    <n v="400"/>
    <x v="8"/>
    <n v="56600"/>
  </r>
  <r>
    <x v="80"/>
    <s v="Milind Deshmukh"/>
    <x v="0"/>
    <x v="0"/>
    <x v="49"/>
    <d v="2021-07-24T00:00:00"/>
    <s v="Full Time"/>
    <x v="3"/>
    <x v="0"/>
    <n v="68000"/>
    <n v="13600"/>
    <n v="6800"/>
    <n v="7500"/>
    <n v="4000"/>
    <n v="99900"/>
    <n v="6800"/>
    <n v="6200"/>
    <n v="650"/>
    <x v="61"/>
    <n v="86250"/>
  </r>
  <r>
    <x v="81"/>
    <s v="Shweta Patil"/>
    <x v="1"/>
    <x v="1"/>
    <x v="1"/>
    <d v="2023-03-08T00:00:00"/>
    <s v="Full Time"/>
    <x v="0"/>
    <x v="2"/>
    <n v="37000"/>
    <n v="7400"/>
    <n v="3700"/>
    <n v="3500"/>
    <n v="2200"/>
    <n v="53800"/>
    <n v="3700"/>
    <n v="2200"/>
    <n v="350"/>
    <x v="29"/>
    <n v="47550"/>
  </r>
  <r>
    <x v="82"/>
    <s v="Nitin Shinde"/>
    <x v="0"/>
    <x v="4"/>
    <x v="12"/>
    <d v="2019-12-19T00:00:00"/>
    <s v="Full Time"/>
    <x v="1"/>
    <x v="6"/>
    <n v="60000"/>
    <n v="12000"/>
    <n v="6000"/>
    <n v="7000"/>
    <n v="4000"/>
    <n v="89000"/>
    <n v="6000"/>
    <n v="5200"/>
    <n v="600"/>
    <x v="19"/>
    <n v="77200"/>
  </r>
  <r>
    <x v="83"/>
    <s v="Sakshi More"/>
    <x v="1"/>
    <x v="3"/>
    <x v="23"/>
    <d v="2024-05-27T00:00:00"/>
    <s v="Full Time"/>
    <x v="0"/>
    <x v="3"/>
    <n v="39000"/>
    <n v="7800"/>
    <n v="3900"/>
    <n v="4000"/>
    <n v="2300"/>
    <n v="57000"/>
    <n v="3900"/>
    <n v="2500"/>
    <n v="350"/>
    <x v="40"/>
    <n v="50250"/>
  </r>
  <r>
    <x v="84"/>
    <s v="Prakash Pawar"/>
    <x v="0"/>
    <x v="2"/>
    <x v="22"/>
    <d v="2022-01-10T00:00:00"/>
    <s v="Full Time"/>
    <x v="2"/>
    <x v="1"/>
    <n v="45000"/>
    <n v="9000"/>
    <n v="4500"/>
    <n v="5000"/>
    <n v="2800"/>
    <n v="66300"/>
    <n v="4500"/>
    <n v="3200"/>
    <n v="400"/>
    <x v="62"/>
    <n v="58200"/>
  </r>
  <r>
    <x v="85"/>
    <s v="Shilpa Joshi"/>
    <x v="1"/>
    <x v="0"/>
    <x v="50"/>
    <d v="2023-09-15T00:00:00"/>
    <s v="Full Time"/>
    <x v="0"/>
    <x v="2"/>
    <n v="70000"/>
    <n v="14000"/>
    <n v="7000"/>
    <n v="8000"/>
    <n v="4500"/>
    <n v="103500"/>
    <n v="7000"/>
    <n v="6500"/>
    <n v="700"/>
    <x v="63"/>
    <n v="89300"/>
  </r>
  <r>
    <x v="86"/>
    <s v="Mahesh Patil"/>
    <x v="0"/>
    <x v="5"/>
    <x v="16"/>
    <d v="2020-06-02T00:00:00"/>
    <s v="Full Time"/>
    <x v="1"/>
    <x v="6"/>
    <n v="47000"/>
    <n v="9400"/>
    <n v="4700"/>
    <n v="5000"/>
    <n v="3000"/>
    <n v="69100"/>
    <n v="4700"/>
    <n v="3400"/>
    <n v="450"/>
    <x v="17"/>
    <n v="60550"/>
  </r>
  <r>
    <x v="87"/>
    <s v="Reena Shinde"/>
    <x v="1"/>
    <x v="4"/>
    <x v="25"/>
    <d v="2024-10-23T00:00:00"/>
    <s v="Full Time"/>
    <x v="0"/>
    <x v="4"/>
    <n v="34000"/>
    <n v="6800"/>
    <n v="3400"/>
    <n v="3000"/>
    <n v="1800"/>
    <n v="49000"/>
    <n v="3400"/>
    <n v="1900"/>
    <n v="300"/>
    <x v="9"/>
    <n v="43400"/>
  </r>
  <r>
    <x v="88"/>
    <s v="Vijay More"/>
    <x v="0"/>
    <x v="2"/>
    <x v="17"/>
    <d v="2021-02-06T00:00:00"/>
    <s v="Full Time"/>
    <x v="3"/>
    <x v="0"/>
    <n v="48000"/>
    <n v="9600"/>
    <n v="4800"/>
    <n v="5000"/>
    <n v="3000"/>
    <n v="70400"/>
    <n v="4800"/>
    <n v="3500"/>
    <n v="450"/>
    <x v="38"/>
    <n v="61650"/>
  </r>
  <r>
    <x v="89"/>
    <s v="Shubhada Pawar"/>
    <x v="1"/>
    <x v="1"/>
    <x v="15"/>
    <d v="2019-08-12T00:00:00"/>
    <s v="Full Time"/>
    <x v="0"/>
    <x v="7"/>
    <n v="64000"/>
    <n v="12800"/>
    <n v="6400"/>
    <n v="7000"/>
    <n v="4000"/>
    <n v="94200"/>
    <n v="6400"/>
    <n v="5700"/>
    <n v="600"/>
    <x v="53"/>
    <n v="81500"/>
  </r>
  <r>
    <x v="90"/>
    <s v="Rahul Deshmukh"/>
    <x v="0"/>
    <x v="0"/>
    <x v="51"/>
    <d v="2020-04-20T00:00:00"/>
    <s v="Full Time"/>
    <x v="1"/>
    <x v="6"/>
    <n v="75000"/>
    <n v="15000"/>
    <n v="7500"/>
    <n v="8500"/>
    <n v="5000"/>
    <n v="111000"/>
    <n v="7500"/>
    <n v="7000"/>
    <n v="750"/>
    <x v="64"/>
    <n v="95750"/>
  </r>
  <r>
    <x v="91"/>
    <s v="Teena Patil"/>
    <x v="1"/>
    <x v="3"/>
    <x v="3"/>
    <d v="2025-01-17T00:00:00"/>
    <s v="Full Time"/>
    <x v="0"/>
    <x v="4"/>
    <n v="36000"/>
    <n v="7200"/>
    <n v="3600"/>
    <n v="3500"/>
    <n v="2000"/>
    <n v="52300"/>
    <n v="3600"/>
    <n v="2100"/>
    <n v="300"/>
    <x v="31"/>
    <n v="46300"/>
  </r>
  <r>
    <x v="92"/>
    <s v="Anand Shinde"/>
    <x v="0"/>
    <x v="4"/>
    <x v="5"/>
    <d v="2022-06-28T00:00:00"/>
    <s v="Full Time"/>
    <x v="2"/>
    <x v="1"/>
    <n v="35000"/>
    <n v="7000"/>
    <n v="3500"/>
    <n v="3500"/>
    <n v="2000"/>
    <n v="51000"/>
    <n v="3500"/>
    <n v="2000"/>
    <n v="300"/>
    <x v="42"/>
    <n v="45200"/>
  </r>
  <r>
    <x v="93"/>
    <s v="Manisha More"/>
    <x v="1"/>
    <x v="2"/>
    <x v="28"/>
    <d v="2020-11-09T00:00:00"/>
    <s v="Full Time"/>
    <x v="0"/>
    <x v="0"/>
    <n v="66000"/>
    <n v="13200"/>
    <n v="6600"/>
    <n v="7500"/>
    <n v="4000"/>
    <n v="97300"/>
    <n v="6600"/>
    <n v="6000"/>
    <n v="650"/>
    <x v="65"/>
    <n v="84050"/>
  </r>
  <r>
    <x v="94"/>
    <s v="Shailesh Pawar"/>
    <x v="0"/>
    <x v="0"/>
    <x v="52"/>
    <d v="2019-03-14T00:00:00"/>
    <s v="Full Time"/>
    <x v="1"/>
    <x v="7"/>
    <n v="80000"/>
    <n v="16000"/>
    <n v="8000"/>
    <n v="9000"/>
    <n v="5000"/>
    <n v="118000"/>
    <n v="8000"/>
    <n v="7500"/>
    <n v="800"/>
    <x v="66"/>
    <n v="101700"/>
  </r>
  <r>
    <x v="95"/>
    <s v="Rekha Patil"/>
    <x v="1"/>
    <x v="1"/>
    <x v="53"/>
    <d v="2021-07-21T00:00:00"/>
    <s v="Full Time"/>
    <x v="0"/>
    <x v="0"/>
    <n v="58000"/>
    <n v="11600"/>
    <n v="5800"/>
    <n v="6500"/>
    <n v="3500"/>
    <n v="85400"/>
    <n v="5800"/>
    <n v="4700"/>
    <n v="500"/>
    <x v="67"/>
    <n v="74400"/>
  </r>
  <r>
    <x v="96"/>
    <s v="Dinesh Shinde"/>
    <x v="0"/>
    <x v="5"/>
    <x v="44"/>
    <d v="2022-12-05T00:00:00"/>
    <s v="Full Time"/>
    <x v="3"/>
    <x v="2"/>
    <n v="55000"/>
    <n v="11000"/>
    <n v="5500"/>
    <n v="6000"/>
    <n v="3500"/>
    <n v="81000"/>
    <n v="5500"/>
    <n v="4300"/>
    <n v="500"/>
    <x v="68"/>
    <n v="70700"/>
  </r>
  <r>
    <x v="97"/>
    <s v="Komal Pawar"/>
    <x v="1"/>
    <x v="4"/>
    <x v="12"/>
    <d v="2023-05-18T00:00:00"/>
    <s v="Full Time"/>
    <x v="0"/>
    <x v="2"/>
    <n v="57000"/>
    <n v="11400"/>
    <n v="5700"/>
    <n v="6500"/>
    <n v="3500"/>
    <n v="84100"/>
    <n v="5700"/>
    <n v="4500"/>
    <n v="500"/>
    <x v="69"/>
    <n v="73400"/>
  </r>
  <r>
    <x v="98"/>
    <s v="Ramesh More"/>
    <x v="0"/>
    <x v="0"/>
    <x v="54"/>
    <d v="2018-09-26T00:00:00"/>
    <s v="Full Time"/>
    <x v="1"/>
    <x v="7"/>
    <n v="85000"/>
    <n v="17000"/>
    <n v="8500"/>
    <n v="10000"/>
    <n v="5500"/>
    <n v="126000"/>
    <n v="8500"/>
    <n v="8000"/>
    <n v="850"/>
    <x v="70"/>
    <n v="108650"/>
  </r>
  <r>
    <x v="99"/>
    <s v="Priyanka Deshmukh"/>
    <x v="1"/>
    <x v="2"/>
    <x v="28"/>
    <d v="2023-10-13T00:00:00"/>
    <s v="Full Time"/>
    <x v="0"/>
    <x v="3"/>
    <n v="62000"/>
    <n v="12400"/>
    <n v="6200"/>
    <n v="7000"/>
    <n v="4000"/>
    <n v="91600"/>
    <n v="6200"/>
    <n v="5500"/>
    <n v="600"/>
    <x v="15"/>
    <n v="79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D8817D-F8AC-44F4-BAC6-970DD60B28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97:B106" firstHeaderRow="1" firstDataRow="1" firstDataCol="1"/>
  <pivotFields count="20">
    <pivotField showAll="0"/>
    <pivotField showAll="0"/>
    <pivotField showAll="0">
      <items count="3">
        <item x="1"/>
        <item x="0"/>
        <item t="default"/>
      </items>
    </pivotField>
    <pivotField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axis="axisRow"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9">
    <i>
      <x/>
    </i>
    <i>
      <x v="1"/>
    </i>
    <i>
      <x v="2"/>
    </i>
    <i>
      <x v="3"/>
    </i>
    <i>
      <x v="4"/>
    </i>
    <i>
      <x v="5"/>
    </i>
    <i>
      <x v="6"/>
    </i>
    <i>
      <x v="7"/>
    </i>
    <i t="grand">
      <x/>
    </i>
  </rowItems>
  <colItems count="1">
    <i/>
  </colItems>
  <dataFields count="1">
    <dataField name="Average of Net Salary" fld="19" subtotal="average" baseField="8" baseItem="0"/>
  </dataFields>
  <formats count="1">
    <format dxfId="6">
      <pivotArea collapsedLevelsAreSubtotals="1" fieldPosition="0">
        <references count="1">
          <reference field="8" count="0"/>
        </references>
      </pivotArea>
    </format>
  </formats>
  <chartFormats count="13">
    <chartFormat chart="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0"/>
          </reference>
        </references>
      </pivotArea>
    </chartFormat>
    <chartFormat chart="24" format="4">
      <pivotArea type="data" outline="0" fieldPosition="0">
        <references count="2">
          <reference field="4294967294" count="1" selected="0">
            <x v="0"/>
          </reference>
          <reference field="8" count="1" selected="0">
            <x v="1"/>
          </reference>
        </references>
      </pivotArea>
    </chartFormat>
    <chartFormat chart="24" format="5">
      <pivotArea type="data" outline="0" fieldPosition="0">
        <references count="2">
          <reference field="4294967294" count="1" selected="0">
            <x v="0"/>
          </reference>
          <reference field="8" count="1" selected="0">
            <x v="2"/>
          </reference>
        </references>
      </pivotArea>
    </chartFormat>
    <chartFormat chart="24" format="6">
      <pivotArea type="data" outline="0" fieldPosition="0">
        <references count="2">
          <reference field="4294967294" count="1" selected="0">
            <x v="0"/>
          </reference>
          <reference field="8" count="1" selected="0">
            <x v="3"/>
          </reference>
        </references>
      </pivotArea>
    </chartFormat>
    <chartFormat chart="24" format="7">
      <pivotArea type="data" outline="0" fieldPosition="0">
        <references count="2">
          <reference field="4294967294" count="1" selected="0">
            <x v="0"/>
          </reference>
          <reference field="8" count="1" selected="0">
            <x v="4"/>
          </reference>
        </references>
      </pivotArea>
    </chartFormat>
    <chartFormat chart="24" format="8">
      <pivotArea type="data" outline="0" fieldPosition="0">
        <references count="2">
          <reference field="4294967294" count="1" selected="0">
            <x v="0"/>
          </reference>
          <reference field="8" count="1" selected="0">
            <x v="5"/>
          </reference>
        </references>
      </pivotArea>
    </chartFormat>
    <chartFormat chart="24" format="9">
      <pivotArea type="data" outline="0" fieldPosition="0">
        <references count="2">
          <reference field="4294967294" count="1" selected="0">
            <x v="0"/>
          </reference>
          <reference field="8" count="1" selected="0">
            <x v="6"/>
          </reference>
        </references>
      </pivotArea>
    </chartFormat>
    <chartFormat chart="24" format="10">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4F95A-9702-4AFE-8AF1-B9685520373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P76" firstHeaderRow="1" firstDataRow="1" firstDataCol="1"/>
  <pivotFields count="20">
    <pivotField showAll="0"/>
    <pivotField showAll="0"/>
    <pivotField showAll="0">
      <items count="3">
        <item x="1"/>
        <item x="0"/>
        <item t="default"/>
      </items>
    </pivotField>
    <pivotField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axis="axisRow" dataField="1" showAll="0">
      <items count="72">
        <item x="41"/>
        <item x="49"/>
        <item x="27"/>
        <item x="5"/>
        <item x="37"/>
        <item x="9"/>
        <item x="55"/>
        <item x="42"/>
        <item x="23"/>
        <item x="3"/>
        <item x="31"/>
        <item x="22"/>
        <item x="6"/>
        <item x="29"/>
        <item x="13"/>
        <item x="26"/>
        <item x="1"/>
        <item x="25"/>
        <item x="40"/>
        <item x="20"/>
        <item x="34"/>
        <item x="35"/>
        <item x="16"/>
        <item x="24"/>
        <item x="2"/>
        <item x="44"/>
        <item x="47"/>
        <item x="8"/>
        <item x="48"/>
        <item x="33"/>
        <item x="62"/>
        <item x="18"/>
        <item x="7"/>
        <item x="59"/>
        <item x="0"/>
        <item x="17"/>
        <item x="38"/>
        <item x="4"/>
        <item x="43"/>
        <item x="57"/>
        <item x="39"/>
        <item x="14"/>
        <item x="58"/>
        <item x="11"/>
        <item x="45"/>
        <item x="68"/>
        <item x="21"/>
        <item x="69"/>
        <item x="36"/>
        <item x="67"/>
        <item x="28"/>
        <item x="12"/>
        <item x="51"/>
        <item x="32"/>
        <item x="50"/>
        <item x="19"/>
        <item x="46"/>
        <item x="56"/>
        <item x="15"/>
        <item x="60"/>
        <item x="53"/>
        <item x="10"/>
        <item x="65"/>
        <item x="52"/>
        <item x="61"/>
        <item x="30"/>
        <item x="63"/>
        <item x="54"/>
        <item x="64"/>
        <item x="66"/>
        <item x="70"/>
        <item t="default"/>
      </items>
    </pivotField>
    <pivotField showAll="0"/>
  </pivotFields>
  <rowFields count="1">
    <field x="18"/>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Total Deduction"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EFBA0-7B74-4ADA-89CF-523D7DE585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83:B89" firstHeaderRow="1" firstDataRow="1" firstDataCol="1"/>
  <pivotFields count="20">
    <pivotField showAll="0"/>
    <pivotField showAll="0"/>
    <pivotField showAll="0">
      <items count="3">
        <item x="1"/>
        <item x="0"/>
        <item t="default"/>
      </items>
    </pivotField>
    <pivotField showAll="0">
      <items count="7">
        <item x="5"/>
        <item x="2"/>
        <item x="1"/>
        <item x="0"/>
        <item x="3"/>
        <item x="4"/>
        <item t="default"/>
      </items>
    </pivotField>
    <pivotField showAll="0"/>
    <pivotField numFmtId="14" showAll="0"/>
    <pivotField showAll="0"/>
    <pivotField axis="axisRow"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6">
    <i>
      <x/>
    </i>
    <i>
      <x v="1"/>
    </i>
    <i>
      <x v="2"/>
    </i>
    <i>
      <x v="3"/>
    </i>
    <i>
      <x v="4"/>
    </i>
    <i t="grand">
      <x/>
    </i>
  </rowItems>
  <colItems count="1">
    <i/>
  </colItems>
  <dataFields count="1">
    <dataField name="Sum of Net Salary" fld="19" baseField="0" baseItem="0"/>
  </dataFields>
  <chartFormats count="3">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73F15B-A7E0-4654-B06F-9DB42FFB94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4:B11" firstHeaderRow="1" firstDataRow="1" firstDataCol="1"/>
  <pivotFields count="2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
        <item x="1"/>
        <item x="0"/>
        <item t="default"/>
      </items>
    </pivotField>
    <pivotField axis="axisRow"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Employee ID" fld="0" subtotal="count" baseField="0" baseItem="0"/>
  </dataFields>
  <chartFormats count="4">
    <chartFormat chart="15"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9D98F4-F5D8-4D9F-A489-F1141F6962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2:B39" firstHeaderRow="1" firstDataRow="1" firstDataCol="1"/>
  <pivotFields count="20">
    <pivotField showAll="0"/>
    <pivotField showAll="0"/>
    <pivotField showAll="0">
      <items count="3">
        <item x="1"/>
        <item x="0"/>
        <item t="default"/>
      </items>
    </pivotField>
    <pivotField axis="axisRow"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Sum of Net Salary" fld="19"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58062F-D2BE-4298-9C4F-79E1C97D0A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8:B25" firstHeaderRow="1" firstDataRow="1" firstDataCol="1"/>
  <pivotFields count="20">
    <pivotField showAll="0"/>
    <pivotField showAll="0"/>
    <pivotField showAll="0">
      <items count="3">
        <item x="1"/>
        <item x="0"/>
        <item t="default"/>
      </items>
    </pivotField>
    <pivotField axis="axisRow"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Gross Salary" fld="14" baseField="0" baseItem="0"/>
  </dataFields>
  <chartFormats count="2">
    <chartFormat chart="22"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A07361-657E-44FD-BFC9-FF0C71AA545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9:B168" firstHeaderRow="1" firstDataRow="1" firstDataCol="1"/>
  <pivotFields count="20">
    <pivotField showAll="0"/>
    <pivotField showAll="0"/>
    <pivotField showAll="0">
      <items count="3">
        <item x="1"/>
        <item x="0"/>
        <item t="default"/>
      </items>
    </pivotField>
    <pivotField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axis="axisRow"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9">
    <i>
      <x/>
    </i>
    <i>
      <x v="1"/>
    </i>
    <i>
      <x v="2"/>
    </i>
    <i>
      <x v="3"/>
    </i>
    <i>
      <x v="4"/>
    </i>
    <i>
      <x v="5"/>
    </i>
    <i>
      <x v="6"/>
    </i>
    <i>
      <x v="7"/>
    </i>
    <i t="grand">
      <x/>
    </i>
  </rowItems>
  <colItems count="1">
    <i/>
  </colItems>
  <dataFields count="1">
    <dataField name="Average of Net Salary" fld="19" subtotal="average" baseField="8"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576D3-FFE4-445C-8157-E53B285A94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6:B53" firstHeaderRow="1" firstDataRow="1" firstDataCol="1"/>
  <pivotFields count="20">
    <pivotField showAll="0"/>
    <pivotField showAll="0"/>
    <pivotField showAll="0">
      <items count="3">
        <item x="1"/>
        <item x="0"/>
        <item t="default"/>
      </items>
    </pivotField>
    <pivotField axis="axisRow"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Gross Salary" fld="14" subtotal="average" baseField="3"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5307DB-93E1-4310-891D-6F34E97DC9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0:B76" firstHeaderRow="1" firstDataRow="1" firstDataCol="1"/>
  <pivotFields count="2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
        <item x="1"/>
        <item x="0"/>
        <item t="default"/>
      </items>
    </pivotField>
    <pivotField showAll="0">
      <items count="7">
        <item x="5"/>
        <item x="2"/>
        <item x="1"/>
        <item x="0"/>
        <item x="3"/>
        <item x="4"/>
        <item t="default"/>
      </items>
    </pivotField>
    <pivotField showAll="0"/>
    <pivotField numFmtId="14" showAll="0"/>
    <pivotField showAll="0"/>
    <pivotField axis="axisRow"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Employee ID" fld="0"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D4C748-D55E-412D-89F4-B753735A36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0:B63" firstHeaderRow="1" firstDataRow="1" firstDataCol="1"/>
  <pivotFields count="2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3">
        <item x="1"/>
        <item x="0"/>
        <item t="default"/>
      </items>
    </pivotField>
    <pivotField showAll="0">
      <items count="7">
        <item x="5"/>
        <item x="2"/>
        <item x="1"/>
        <item x="0"/>
        <item x="3"/>
        <item x="4"/>
        <item t="default"/>
      </items>
    </pivotField>
    <pivotField showAll="0"/>
    <pivotField numFmtId="14" showAll="0"/>
    <pivotField showAll="0"/>
    <pivotField showAll="0">
      <items count="6">
        <item x="4"/>
        <item x="1"/>
        <item x="3"/>
        <item x="2"/>
        <item x="0"/>
        <item t="default"/>
      </items>
    </pivotField>
    <pivotField showAll="0">
      <items count="9">
        <item x="5"/>
        <item x="4"/>
        <item x="3"/>
        <item x="2"/>
        <item x="1"/>
        <item x="0"/>
        <item x="6"/>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 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88AC96-95AF-48B1-862A-B3DFFAA34E38}" sourceName="Gender">
  <pivotTables>
    <pivotTable tabId="6" name="PivotTable1"/>
    <pivotTable tabId="6" name="PivotTable12"/>
    <pivotTable tabId="6" name="PivotTable2"/>
    <pivotTable tabId="6" name="PivotTable3"/>
    <pivotTable tabId="6" name="PivotTable5"/>
    <pivotTable tabId="6" name="PivotTable6"/>
    <pivotTable tabId="6" name="PivotTable7"/>
    <pivotTable tabId="6" name="PivotTable8"/>
    <pivotTable tabId="6" name="PivotTable9"/>
    <pivotTable tabId="6" name="PivotTable13"/>
  </pivotTables>
  <data>
    <tabular pivotCacheId="14990775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419A59F-CF87-4716-B569-B36F9B9CD6EE}" sourceName="Department">
  <pivotTables>
    <pivotTable tabId="6" name="PivotTable1"/>
    <pivotTable tabId="6" name="PivotTable12"/>
    <pivotTable tabId="6" name="PivotTable2"/>
    <pivotTable tabId="6" name="PivotTable3"/>
    <pivotTable tabId="6" name="PivotTable5"/>
    <pivotTable tabId="6" name="PivotTable6"/>
    <pivotTable tabId="6" name="PivotTable7"/>
    <pivotTable tabId="6" name="PivotTable8"/>
    <pivotTable tabId="6" name="PivotTable9"/>
    <pivotTable tabId="6" name="PivotTable13"/>
  </pivotTables>
  <data>
    <tabular pivotCacheId="1499077524">
      <items count="6">
        <i x="5" s="1"/>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72BC3A-002D-4980-B9FF-6811FD2E59F0}" sourceName="City">
  <pivotTables>
    <pivotTable tabId="6" name="PivotTable1"/>
    <pivotTable tabId="6" name="PivotTable12"/>
    <pivotTable tabId="6" name="PivotTable2"/>
    <pivotTable tabId="6" name="PivotTable3"/>
    <pivotTable tabId="6" name="PivotTable5"/>
    <pivotTable tabId="6" name="PivotTable6"/>
    <pivotTable tabId="6" name="PivotTable7"/>
    <pivotTable tabId="6" name="PivotTable8"/>
    <pivotTable tabId="6" name="PivotTable9"/>
    <pivotTable tabId="6" name="PivotTable13"/>
  </pivotTables>
  <data>
    <tabular pivotCacheId="1499077524">
      <items count="5">
        <i x="4" s="1"/>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16D9B1E2-1CB8-48BD-9BFB-0FC0CBB89EEF}" sourceName="Experience">
  <pivotTables>
    <pivotTable tabId="6" name="PivotTable1"/>
    <pivotTable tabId="6" name="PivotTable12"/>
    <pivotTable tabId="6" name="PivotTable2"/>
    <pivotTable tabId="6" name="PivotTable3"/>
    <pivotTable tabId="6" name="PivotTable5"/>
    <pivotTable tabId="6" name="PivotTable6"/>
    <pivotTable tabId="6" name="PivotTable7"/>
    <pivotTable tabId="6" name="PivotTable8"/>
    <pivotTable tabId="6" name="PivotTable9"/>
    <pivotTable tabId="6" name="PivotTable13"/>
  </pivotTables>
  <data>
    <tabular pivotCacheId="1499077524">
      <items count="8">
        <i x="5" s="1"/>
        <i x="4" s="1"/>
        <i x="3" s="1"/>
        <i x="2" s="1"/>
        <i x="1" s="1"/>
        <i x="0"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5A18F2D-F760-4DA2-8688-34626CE4AACC}" cache="Slicer_Gender" caption="Gender" style="SlicerStyleDark2" rowHeight="247650"/>
  <slicer name="Department 1" xr10:uid="{95082F0E-9D5E-4E4E-B4E4-E04E15C98168}" cache="Slicer_Department" caption="Department" startItem="3" style="SlicerStyleDark6" rowHeight="247650"/>
  <slicer name="City 1" xr10:uid="{473E2CCF-3262-4912-93E0-A0A9CE64E563}" cache="Slicer_City" caption="City" rowHeight="247650"/>
  <slicer name="Experience 1" xr10:uid="{F8A1BBEE-3035-4B19-AF2A-6C28D865AFAC}" cache="Slicer_Experience" caption="Experience"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C0E0A-5F20-483A-B411-7844F9628B9A}" name="Table1" displayName="Table1" ref="A1:T101" totalsRowShown="0" headerRowDxfId="28" dataDxfId="27">
  <autoFilter ref="A1:T101" xr:uid="{852C0E0A-5F20-483A-B411-7844F9628B9A}"/>
  <tableColumns count="20">
    <tableColumn id="1" xr3:uid="{F176E983-AA0F-4920-94EF-1BA19A660596}" name="Employee ID" dataDxfId="26"/>
    <tableColumn id="2" xr3:uid="{99285103-DEAB-48FE-98FA-0A356D93D5E6}" name="Employee Name" dataDxfId="25"/>
    <tableColumn id="3" xr3:uid="{3D70B30F-692B-4198-A9F3-61430D43E420}" name="Gender" dataDxfId="24"/>
    <tableColumn id="4" xr3:uid="{C6AEC521-05A7-469D-86AE-9D405D75E569}" name="Department" dataDxfId="23"/>
    <tableColumn id="5" xr3:uid="{7A5033D6-DD0D-408A-8053-8E8580250EAC}" name="Designation" dataDxfId="22"/>
    <tableColumn id="6" xr3:uid="{A97F4127-80A5-416F-8C06-618E2AB8FDCC}" name="Joining Date" dataDxfId="21"/>
    <tableColumn id="7" xr3:uid="{4406C2BF-A34D-4E9F-A609-C042FBB3DFAD}" name="Employment Type" dataDxfId="20"/>
    <tableColumn id="8" xr3:uid="{02EDFEF3-4B1B-429F-A6D8-73AD5FCD11BE}" name="City" dataDxfId="19"/>
    <tableColumn id="9" xr3:uid="{3AB0AA57-3511-4398-9B16-0D19E8EBB926}" name="Experience" dataDxfId="18">
      <calculatedColumnFormula>DATEDIF(F2,TODAY(),"Y")</calculatedColumnFormula>
    </tableColumn>
    <tableColumn id="10" xr3:uid="{A9AC8883-8189-4213-BA71-9670FF17FFAF}" name="Basic Salary" dataDxfId="17"/>
    <tableColumn id="11" xr3:uid="{7C673D94-35C8-4140-9F7A-B711D977665C}" name="HRA" dataDxfId="16"/>
    <tableColumn id="12" xr3:uid="{8800B336-236A-42CD-8AD9-125B36598F77}" name="DA" dataDxfId="15"/>
    <tableColumn id="13" xr3:uid="{DC2D159D-6289-4411-BD24-6B5C7E24734E}" name="Bonus" dataDxfId="14"/>
    <tableColumn id="14" xr3:uid="{FF20D163-1B57-4ED4-A95D-17C25404D7FC}" name="Other Allowance" dataDxfId="13"/>
    <tableColumn id="15" xr3:uid="{AE6053D8-2919-400F-8E47-534D609C9D83}" name="Gross Salary" dataDxfId="12">
      <calculatedColumnFormula>SUM(J2:N2)</calculatedColumnFormula>
    </tableColumn>
    <tableColumn id="16" xr3:uid="{A5BF750D-F13F-4A52-A473-170E0357C13C}" name="PF" dataDxfId="11"/>
    <tableColumn id="17" xr3:uid="{76E0541D-488B-4DCE-B661-4014B9E27CF1}" name="Tax" dataDxfId="10"/>
    <tableColumn id="18" xr3:uid="{4D85AB4C-F3C7-4826-BD58-C6B308EE934B}" name="Other Deduction" dataDxfId="9"/>
    <tableColumn id="19" xr3:uid="{AEDA4644-21E3-4B4D-8A36-5079BD723BCC}" name="Total Deduction" dataDxfId="8">
      <calculatedColumnFormula>SUM(P2:R2)</calculatedColumnFormula>
    </tableColumn>
    <tableColumn id="20" xr3:uid="{B0745C3E-0075-49CC-BDAF-12EECB75360C}" name="Net Salary" dataDxfId="7">
      <calculatedColumnFormula>O2-S2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F10D21-B446-4432-A650-2E7BC1D8A542}" name="Table2" displayName="Table2" ref="T4:X5" totalsRowShown="0" dataDxfId="5">
  <autoFilter ref="T4:X5" xr:uid="{07F10D21-B446-4432-A650-2E7BC1D8A542}"/>
  <tableColumns count="5">
    <tableColumn id="1" xr3:uid="{424CA631-52FA-4ECD-9D86-D9C4DB84D616}" name="Total Employees" dataDxfId="4">
      <calculatedColumnFormula>COUNTA(Table1[Employee ID])</calculatedColumnFormula>
    </tableColumn>
    <tableColumn id="2" xr3:uid="{743B0926-5073-4986-9E30-0779A239163C}" name="Total Gross Salary" dataDxfId="3">
      <calculatedColumnFormula>SUM(Table1[Gross Salary])</calculatedColumnFormula>
    </tableColumn>
    <tableColumn id="3" xr3:uid="{F3596231-C534-40C6-9377-A2388B75F513}" name="Total Net Salary" dataDxfId="2">
      <calculatedColumnFormula>SUM(Table1[Net Salary])</calculatedColumnFormula>
    </tableColumn>
    <tableColumn id="4" xr3:uid="{2AA286A4-D06F-49B0-8750-3C5E2D5A14A9}" name="Total Deduction" dataDxfId="1">
      <calculatedColumnFormula>SUM(Table1[Total Deduction])</calculatedColumnFormula>
    </tableColumn>
    <tableColumn id="5" xr3:uid="{21EAB03D-3106-4B38-BDBA-331A3A5EDB9F}" name="Average Net Salary" dataDxfId="0">
      <calculatedColumnFormula>AVERAGE(Table1[Net Salary])</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B0C8-005B-46E1-BBDE-FA1FFFC760EE}">
  <dimension ref="A1:T101"/>
  <sheetViews>
    <sheetView workbookViewId="0">
      <selection activeCell="B1" sqref="B1"/>
    </sheetView>
  </sheetViews>
  <sheetFormatPr defaultRowHeight="14.4"/>
  <cols>
    <col min="1" max="1" width="15.77734375" bestFit="1" customWidth="1"/>
    <col min="2" max="2" width="19.109375" bestFit="1" customWidth="1"/>
    <col min="3" max="3" width="11.5546875" bestFit="1" customWidth="1"/>
    <col min="4" max="4" width="15.44140625" bestFit="1" customWidth="1"/>
    <col min="5" max="5" width="27.44140625" bestFit="1" customWidth="1"/>
    <col min="6" max="6" width="15.33203125" bestFit="1" customWidth="1"/>
    <col min="7" max="7" width="17.6640625" customWidth="1"/>
    <col min="8" max="8" width="10.6640625" bestFit="1" customWidth="1"/>
    <col min="9" max="9" width="14.6640625" bestFit="1" customWidth="1"/>
    <col min="10" max="10" width="15.5546875" bestFit="1" customWidth="1"/>
    <col min="11" max="11" width="9" bestFit="1" customWidth="1"/>
    <col min="13" max="13" width="10.44140625" bestFit="1" customWidth="1"/>
    <col min="14" max="14" width="16.44140625" customWidth="1"/>
    <col min="15" max="15" width="13.21875" customWidth="1"/>
    <col min="18" max="18" width="19.109375" bestFit="1" customWidth="1"/>
    <col min="19" max="19" width="18.5546875" bestFit="1" customWidth="1"/>
    <col min="20" max="20" width="14" bestFit="1" customWidth="1"/>
  </cols>
  <sheetData>
    <row r="1" spans="1:20" s="4" customFormat="1">
      <c r="A1" s="3" t="s">
        <v>0</v>
      </c>
      <c r="B1" s="3" t="s">
        <v>1</v>
      </c>
      <c r="C1" s="3" t="s">
        <v>2</v>
      </c>
      <c r="D1" s="3" t="s">
        <v>3</v>
      </c>
      <c r="E1" s="3" t="s">
        <v>4</v>
      </c>
      <c r="F1" s="3" t="s">
        <v>5</v>
      </c>
      <c r="G1" s="3" t="s">
        <v>6</v>
      </c>
      <c r="H1" s="3" t="s">
        <v>7</v>
      </c>
      <c r="I1" s="3" t="s">
        <v>19</v>
      </c>
      <c r="J1" s="3" t="s">
        <v>8</v>
      </c>
      <c r="K1" s="3" t="s">
        <v>9</v>
      </c>
      <c r="L1" s="3" t="s">
        <v>10</v>
      </c>
      <c r="M1" s="3" t="s">
        <v>11</v>
      </c>
      <c r="N1" s="3" t="s">
        <v>12</v>
      </c>
      <c r="O1" s="3" t="s">
        <v>13</v>
      </c>
      <c r="P1" s="3" t="s">
        <v>14</v>
      </c>
      <c r="Q1" s="3" t="s">
        <v>15</v>
      </c>
      <c r="R1" s="3" t="s">
        <v>16</v>
      </c>
      <c r="S1" s="3" t="s">
        <v>17</v>
      </c>
      <c r="T1" s="3" t="s">
        <v>18</v>
      </c>
    </row>
    <row r="2" spans="1:20">
      <c r="A2" s="1" t="s">
        <v>20</v>
      </c>
      <c r="B2" s="1" t="s">
        <v>21</v>
      </c>
      <c r="C2" s="1" t="s">
        <v>22</v>
      </c>
      <c r="D2" s="1" t="s">
        <v>23</v>
      </c>
      <c r="E2" s="1" t="s">
        <v>24</v>
      </c>
      <c r="F2" s="2">
        <v>44270</v>
      </c>
      <c r="G2" s="1" t="s">
        <v>25</v>
      </c>
      <c r="H2" s="1" t="s">
        <v>26</v>
      </c>
      <c r="I2" s="1">
        <f t="shared" ref="I2:I33" ca="1" si="0">DATEDIF(F2,TODAY(),"Y")</f>
        <v>5</v>
      </c>
      <c r="J2" s="1">
        <v>45000</v>
      </c>
      <c r="K2" s="1">
        <v>9000</v>
      </c>
      <c r="L2" s="1">
        <v>4500</v>
      </c>
      <c r="M2" s="1">
        <v>5000</v>
      </c>
      <c r="N2" s="1">
        <v>3000</v>
      </c>
      <c r="O2" s="1">
        <f t="shared" ref="O2:O65" si="1">SUM(J2:N2)</f>
        <v>66500</v>
      </c>
      <c r="P2" s="1">
        <v>4500</v>
      </c>
      <c r="Q2" s="1">
        <v>3500</v>
      </c>
      <c r="R2" s="1">
        <v>500</v>
      </c>
      <c r="S2" s="1">
        <f t="shared" ref="S2:S65" si="2">SUM(P2:R2)</f>
        <v>8500</v>
      </c>
      <c r="T2" s="1">
        <f t="shared" ref="T2:T65" si="3">O2-S2</f>
        <v>58000</v>
      </c>
    </row>
    <row r="3" spans="1:20">
      <c r="A3" s="1" t="s">
        <v>27</v>
      </c>
      <c r="B3" s="1" t="s">
        <v>28</v>
      </c>
      <c r="C3" s="1" t="s">
        <v>29</v>
      </c>
      <c r="D3" s="1" t="s">
        <v>30</v>
      </c>
      <c r="E3" s="1" t="s">
        <v>31</v>
      </c>
      <c r="F3" s="2">
        <v>44764</v>
      </c>
      <c r="G3" s="1" t="s">
        <v>25</v>
      </c>
      <c r="H3" s="1" t="s">
        <v>32</v>
      </c>
      <c r="I3" s="1">
        <f t="shared" ca="1" si="0"/>
        <v>4</v>
      </c>
      <c r="J3" s="1">
        <v>38000</v>
      </c>
      <c r="K3" s="1">
        <v>7600</v>
      </c>
      <c r="L3" s="1">
        <v>3800</v>
      </c>
      <c r="M3" s="1">
        <v>4000</v>
      </c>
      <c r="N3" s="1">
        <v>2500</v>
      </c>
      <c r="O3" s="1">
        <f t="shared" si="1"/>
        <v>55900</v>
      </c>
      <c r="P3" s="1">
        <v>3800</v>
      </c>
      <c r="Q3" s="1">
        <v>2400</v>
      </c>
      <c r="R3" s="1">
        <v>400</v>
      </c>
      <c r="S3" s="1">
        <f t="shared" si="2"/>
        <v>6600</v>
      </c>
      <c r="T3" s="1">
        <f t="shared" si="3"/>
        <v>49300</v>
      </c>
    </row>
    <row r="4" spans="1:20">
      <c r="A4" s="1" t="s">
        <v>33</v>
      </c>
      <c r="B4" s="1" t="s">
        <v>34</v>
      </c>
      <c r="C4" s="1" t="s">
        <v>22</v>
      </c>
      <c r="D4" s="1" t="s">
        <v>35</v>
      </c>
      <c r="E4" s="1" t="s">
        <v>36</v>
      </c>
      <c r="F4" s="2">
        <v>44936</v>
      </c>
      <c r="G4" s="1" t="s">
        <v>25</v>
      </c>
      <c r="H4" s="1" t="s">
        <v>37</v>
      </c>
      <c r="I4" s="1">
        <f t="shared" ca="1" si="0"/>
        <v>3</v>
      </c>
      <c r="J4" s="1">
        <v>42000</v>
      </c>
      <c r="K4" s="1">
        <v>8400</v>
      </c>
      <c r="L4" s="1">
        <v>4200</v>
      </c>
      <c r="M4" s="1">
        <v>4500</v>
      </c>
      <c r="N4" s="1">
        <v>2800</v>
      </c>
      <c r="O4" s="1">
        <f t="shared" si="1"/>
        <v>61900</v>
      </c>
      <c r="P4" s="1">
        <v>4200</v>
      </c>
      <c r="Q4" s="1">
        <v>2800</v>
      </c>
      <c r="R4" s="1">
        <v>450</v>
      </c>
      <c r="S4" s="1">
        <f t="shared" si="2"/>
        <v>7450</v>
      </c>
      <c r="T4" s="1">
        <f t="shared" si="3"/>
        <v>54450</v>
      </c>
    </row>
    <row r="5" spans="1:20">
      <c r="A5" s="1" t="s">
        <v>38</v>
      </c>
      <c r="B5" s="1" t="s">
        <v>39</v>
      </c>
      <c r="C5" s="1" t="s">
        <v>29</v>
      </c>
      <c r="D5" s="1" t="s">
        <v>40</v>
      </c>
      <c r="E5" s="1" t="s">
        <v>41</v>
      </c>
      <c r="F5" s="2">
        <v>45553</v>
      </c>
      <c r="G5" s="1" t="s">
        <v>25</v>
      </c>
      <c r="H5" s="1" t="s">
        <v>26</v>
      </c>
      <c r="I5" s="1">
        <f t="shared" ca="1" si="0"/>
        <v>2</v>
      </c>
      <c r="J5" s="1">
        <v>35000</v>
      </c>
      <c r="K5" s="1">
        <v>7000</v>
      </c>
      <c r="L5" s="1">
        <v>3500</v>
      </c>
      <c r="M5" s="1">
        <v>3500</v>
      </c>
      <c r="N5" s="1">
        <v>2200</v>
      </c>
      <c r="O5" s="1">
        <f t="shared" si="1"/>
        <v>51200</v>
      </c>
      <c r="P5" s="1">
        <v>3500</v>
      </c>
      <c r="Q5" s="1">
        <v>2100</v>
      </c>
      <c r="R5" s="1">
        <v>350</v>
      </c>
      <c r="S5" s="1">
        <f t="shared" si="2"/>
        <v>5950</v>
      </c>
      <c r="T5" s="1">
        <f t="shared" si="3"/>
        <v>45250</v>
      </c>
    </row>
    <row r="6" spans="1:20">
      <c r="A6" s="1" t="s">
        <v>42</v>
      </c>
      <c r="B6" s="1" t="s">
        <v>43</v>
      </c>
      <c r="C6" s="1" t="s">
        <v>22</v>
      </c>
      <c r="D6" s="1" t="s">
        <v>23</v>
      </c>
      <c r="E6" s="1" t="s">
        <v>44</v>
      </c>
      <c r="F6" s="2">
        <v>45693</v>
      </c>
      <c r="G6" s="1" t="s">
        <v>25</v>
      </c>
      <c r="H6" s="1" t="s">
        <v>45</v>
      </c>
      <c r="I6" s="1">
        <f t="shared" ca="1" si="0"/>
        <v>1</v>
      </c>
      <c r="J6" s="1">
        <v>48000</v>
      </c>
      <c r="K6" s="1">
        <v>9600</v>
      </c>
      <c r="L6" s="1">
        <v>4800</v>
      </c>
      <c r="M6" s="1">
        <v>5000</v>
      </c>
      <c r="N6" s="1">
        <v>3000</v>
      </c>
      <c r="O6" s="1">
        <f t="shared" si="1"/>
        <v>70400</v>
      </c>
      <c r="P6" s="1">
        <v>4800</v>
      </c>
      <c r="Q6" s="1">
        <v>3800</v>
      </c>
      <c r="R6" s="1">
        <v>500</v>
      </c>
      <c r="S6" s="1">
        <f t="shared" si="2"/>
        <v>9100</v>
      </c>
      <c r="T6" s="1">
        <f t="shared" si="3"/>
        <v>61300</v>
      </c>
    </row>
    <row r="7" spans="1:20">
      <c r="A7" s="1" t="s">
        <v>46</v>
      </c>
      <c r="B7" s="1" t="s">
        <v>47</v>
      </c>
      <c r="C7" s="1" t="s">
        <v>29</v>
      </c>
      <c r="D7" s="1" t="s">
        <v>48</v>
      </c>
      <c r="E7" s="1" t="s">
        <v>49</v>
      </c>
      <c r="F7" s="2">
        <v>45104</v>
      </c>
      <c r="G7" s="1" t="s">
        <v>25</v>
      </c>
      <c r="H7" s="1" t="s">
        <v>50</v>
      </c>
      <c r="I7" s="1">
        <f t="shared" ca="1" si="0"/>
        <v>3</v>
      </c>
      <c r="J7" s="1">
        <v>32000</v>
      </c>
      <c r="K7" s="1">
        <v>6400</v>
      </c>
      <c r="L7" s="1">
        <v>3200</v>
      </c>
      <c r="M7" s="1">
        <v>3500</v>
      </c>
      <c r="N7" s="1">
        <v>2000</v>
      </c>
      <c r="O7" s="1">
        <f t="shared" si="1"/>
        <v>47100</v>
      </c>
      <c r="P7" s="1">
        <v>3200</v>
      </c>
      <c r="Q7" s="1">
        <v>1800</v>
      </c>
      <c r="R7" s="1">
        <v>300</v>
      </c>
      <c r="S7" s="1">
        <f t="shared" si="2"/>
        <v>5300</v>
      </c>
      <c r="T7" s="1">
        <f t="shared" si="3"/>
        <v>41800</v>
      </c>
    </row>
    <row r="8" spans="1:20">
      <c r="A8" s="1" t="s">
        <v>51</v>
      </c>
      <c r="B8" s="1" t="s">
        <v>52</v>
      </c>
      <c r="C8" s="1" t="s">
        <v>22</v>
      </c>
      <c r="D8" s="1" t="s">
        <v>53</v>
      </c>
      <c r="E8" s="1" t="s">
        <v>54</v>
      </c>
      <c r="F8" s="2">
        <v>44512</v>
      </c>
      <c r="G8" s="1" t="s">
        <v>25</v>
      </c>
      <c r="H8" s="1" t="s">
        <v>26</v>
      </c>
      <c r="I8" s="1">
        <f t="shared" ca="1" si="0"/>
        <v>4</v>
      </c>
      <c r="J8" s="1">
        <v>36000</v>
      </c>
      <c r="K8" s="1">
        <v>7200</v>
      </c>
      <c r="L8" s="1">
        <v>3600</v>
      </c>
      <c r="M8" s="1">
        <v>4000</v>
      </c>
      <c r="N8" s="1">
        <v>2200</v>
      </c>
      <c r="O8" s="1">
        <f t="shared" si="1"/>
        <v>53000</v>
      </c>
      <c r="P8" s="1">
        <v>3600</v>
      </c>
      <c r="Q8" s="1">
        <v>2200</v>
      </c>
      <c r="R8" s="1">
        <v>350</v>
      </c>
      <c r="S8" s="1">
        <f t="shared" si="2"/>
        <v>6150</v>
      </c>
      <c r="T8" s="1">
        <f t="shared" si="3"/>
        <v>46850</v>
      </c>
    </row>
    <row r="9" spans="1:20">
      <c r="A9" s="1" t="s">
        <v>55</v>
      </c>
      <c r="B9" s="1" t="s">
        <v>56</v>
      </c>
      <c r="C9" s="1" t="s">
        <v>29</v>
      </c>
      <c r="D9" s="1" t="s">
        <v>35</v>
      </c>
      <c r="E9" s="1" t="s">
        <v>57</v>
      </c>
      <c r="F9" s="2">
        <v>45412</v>
      </c>
      <c r="G9" s="1" t="s">
        <v>25</v>
      </c>
      <c r="H9" s="1" t="s">
        <v>32</v>
      </c>
      <c r="I9" s="1">
        <f t="shared" ca="1" si="0"/>
        <v>2</v>
      </c>
      <c r="J9" s="1">
        <v>46000</v>
      </c>
      <c r="K9" s="1">
        <v>9200</v>
      </c>
      <c r="L9" s="1">
        <v>4600</v>
      </c>
      <c r="M9" s="1">
        <v>5000</v>
      </c>
      <c r="N9" s="1">
        <v>3000</v>
      </c>
      <c r="O9" s="1">
        <f t="shared" si="1"/>
        <v>67800</v>
      </c>
      <c r="P9" s="1">
        <v>4600</v>
      </c>
      <c r="Q9" s="1">
        <v>3200</v>
      </c>
      <c r="R9" s="1">
        <v>450</v>
      </c>
      <c r="S9" s="1">
        <f t="shared" si="2"/>
        <v>8250</v>
      </c>
      <c r="T9" s="1">
        <f t="shared" si="3"/>
        <v>59550</v>
      </c>
    </row>
    <row r="10" spans="1:20">
      <c r="A10" s="1" t="s">
        <v>58</v>
      </c>
      <c r="B10" s="1" t="s">
        <v>59</v>
      </c>
      <c r="C10" s="1" t="s">
        <v>22</v>
      </c>
      <c r="D10" s="1" t="s">
        <v>23</v>
      </c>
      <c r="E10" s="1" t="s">
        <v>60</v>
      </c>
      <c r="F10" s="2">
        <v>45888</v>
      </c>
      <c r="G10" s="1" t="s">
        <v>25</v>
      </c>
      <c r="H10" s="1" t="s">
        <v>26</v>
      </c>
      <c r="I10" s="1">
        <f t="shared" ca="1" si="0"/>
        <v>1</v>
      </c>
      <c r="J10" s="1">
        <v>44000</v>
      </c>
      <c r="K10" s="1">
        <v>8800</v>
      </c>
      <c r="L10" s="1">
        <v>4400</v>
      </c>
      <c r="M10" s="1">
        <v>4500</v>
      </c>
      <c r="N10" s="1">
        <v>2800</v>
      </c>
      <c r="O10" s="1">
        <f t="shared" si="1"/>
        <v>64500</v>
      </c>
      <c r="P10" s="1">
        <v>4400</v>
      </c>
      <c r="Q10" s="1">
        <v>3000</v>
      </c>
      <c r="R10" s="1">
        <v>400</v>
      </c>
      <c r="S10" s="1">
        <f t="shared" si="2"/>
        <v>7800</v>
      </c>
      <c r="T10" s="1">
        <f t="shared" si="3"/>
        <v>56700</v>
      </c>
    </row>
    <row r="11" spans="1:20">
      <c r="A11" s="1" t="s">
        <v>61</v>
      </c>
      <c r="B11" s="1" t="s">
        <v>62</v>
      </c>
      <c r="C11" s="1" t="s">
        <v>29</v>
      </c>
      <c r="D11" s="1" t="s">
        <v>30</v>
      </c>
      <c r="E11" s="1" t="s">
        <v>63</v>
      </c>
      <c r="F11" s="2">
        <v>46029</v>
      </c>
      <c r="G11" s="1" t="s">
        <v>25</v>
      </c>
      <c r="H11" s="1" t="s">
        <v>37</v>
      </c>
      <c r="I11" s="1">
        <f t="shared" ca="1" si="0"/>
        <v>0</v>
      </c>
      <c r="J11" s="1">
        <v>34000</v>
      </c>
      <c r="K11" s="1">
        <v>6800</v>
      </c>
      <c r="L11" s="1">
        <v>3400</v>
      </c>
      <c r="M11" s="1">
        <v>3000</v>
      </c>
      <c r="N11" s="1">
        <v>2000</v>
      </c>
      <c r="O11" s="1">
        <f t="shared" si="1"/>
        <v>49200</v>
      </c>
      <c r="P11" s="1">
        <v>3400</v>
      </c>
      <c r="Q11" s="1">
        <v>1900</v>
      </c>
      <c r="R11" s="1">
        <v>300</v>
      </c>
      <c r="S11" s="1">
        <f t="shared" si="2"/>
        <v>5600</v>
      </c>
      <c r="T11" s="1">
        <f t="shared" si="3"/>
        <v>43600</v>
      </c>
    </row>
    <row r="12" spans="1:20">
      <c r="A12" s="1" t="s">
        <v>64</v>
      </c>
      <c r="B12" s="1" t="s">
        <v>65</v>
      </c>
      <c r="C12" s="1" t="s">
        <v>22</v>
      </c>
      <c r="D12" s="1" t="s">
        <v>23</v>
      </c>
      <c r="E12" s="1" t="s">
        <v>66</v>
      </c>
      <c r="F12" s="2">
        <v>43975</v>
      </c>
      <c r="G12" s="1" t="s">
        <v>25</v>
      </c>
      <c r="H12" s="1" t="s">
        <v>26</v>
      </c>
      <c r="I12" s="1">
        <f t="shared" ca="1" si="0"/>
        <v>6</v>
      </c>
      <c r="J12" s="1">
        <v>65000</v>
      </c>
      <c r="K12" s="1">
        <v>13000</v>
      </c>
      <c r="L12" s="1">
        <v>6500</v>
      </c>
      <c r="M12" s="1">
        <v>7000</v>
      </c>
      <c r="N12" s="1">
        <v>4000</v>
      </c>
      <c r="O12" s="1">
        <f t="shared" si="1"/>
        <v>95500</v>
      </c>
      <c r="P12" s="1">
        <v>6500</v>
      </c>
      <c r="Q12" s="1">
        <v>6000</v>
      </c>
      <c r="R12" s="1">
        <v>600</v>
      </c>
      <c r="S12" s="1">
        <f t="shared" si="2"/>
        <v>13100</v>
      </c>
      <c r="T12" s="1">
        <f t="shared" si="3"/>
        <v>82400</v>
      </c>
    </row>
    <row r="13" spans="1:20">
      <c r="A13" s="1" t="s">
        <v>67</v>
      </c>
      <c r="B13" s="1" t="s">
        <v>68</v>
      </c>
      <c r="C13" s="1" t="s">
        <v>29</v>
      </c>
      <c r="D13" s="1" t="s">
        <v>35</v>
      </c>
      <c r="E13" s="1" t="s">
        <v>69</v>
      </c>
      <c r="F13" s="2">
        <v>44850</v>
      </c>
      <c r="G13" s="1" t="s">
        <v>25</v>
      </c>
      <c r="H13" s="1" t="s">
        <v>32</v>
      </c>
      <c r="I13" s="1">
        <f t="shared" ca="1" si="0"/>
        <v>3</v>
      </c>
      <c r="J13" s="1">
        <v>52000</v>
      </c>
      <c r="K13" s="1">
        <v>10400</v>
      </c>
      <c r="L13" s="1">
        <v>5200</v>
      </c>
      <c r="M13" s="1">
        <v>5500</v>
      </c>
      <c r="N13" s="1">
        <v>3200</v>
      </c>
      <c r="O13" s="1">
        <f t="shared" si="1"/>
        <v>76300</v>
      </c>
      <c r="P13" s="1">
        <v>5200</v>
      </c>
      <c r="Q13" s="1">
        <v>4200</v>
      </c>
      <c r="R13" s="1">
        <v>500</v>
      </c>
      <c r="S13" s="1">
        <f t="shared" si="2"/>
        <v>9900</v>
      </c>
      <c r="T13" s="1">
        <f t="shared" si="3"/>
        <v>66400</v>
      </c>
    </row>
    <row r="14" spans="1:20">
      <c r="A14" s="1" t="s">
        <v>70</v>
      </c>
      <c r="B14" s="1" t="s">
        <v>71</v>
      </c>
      <c r="C14" s="1" t="s">
        <v>22</v>
      </c>
      <c r="D14" s="1" t="s">
        <v>48</v>
      </c>
      <c r="E14" s="1" t="s">
        <v>72</v>
      </c>
      <c r="F14" s="2">
        <v>44258</v>
      </c>
      <c r="G14" s="1" t="s">
        <v>25</v>
      </c>
      <c r="H14" s="1" t="s">
        <v>45</v>
      </c>
      <c r="I14" s="1">
        <f t="shared" ca="1" si="0"/>
        <v>5</v>
      </c>
      <c r="J14" s="1">
        <v>58000</v>
      </c>
      <c r="K14" s="1">
        <v>11600</v>
      </c>
      <c r="L14" s="1">
        <v>5800</v>
      </c>
      <c r="M14" s="1">
        <v>6500</v>
      </c>
      <c r="N14" s="1">
        <v>3500</v>
      </c>
      <c r="O14" s="1">
        <f t="shared" si="1"/>
        <v>85400</v>
      </c>
      <c r="P14" s="1">
        <v>5800</v>
      </c>
      <c r="Q14" s="1">
        <v>4800</v>
      </c>
      <c r="R14" s="1">
        <v>550</v>
      </c>
      <c r="S14" s="1">
        <f t="shared" si="2"/>
        <v>11150</v>
      </c>
      <c r="T14" s="1">
        <f t="shared" si="3"/>
        <v>74250</v>
      </c>
    </row>
    <row r="15" spans="1:20">
      <c r="A15" s="1" t="s">
        <v>73</v>
      </c>
      <c r="B15" s="1" t="s">
        <v>74</v>
      </c>
      <c r="C15" s="1" t="s">
        <v>29</v>
      </c>
      <c r="D15" s="1" t="s">
        <v>40</v>
      </c>
      <c r="E15" s="1" t="s">
        <v>75</v>
      </c>
      <c r="F15" s="2">
        <v>45281</v>
      </c>
      <c r="G15" s="1" t="s">
        <v>25</v>
      </c>
      <c r="H15" s="1" t="s">
        <v>26</v>
      </c>
      <c r="I15" s="1">
        <f t="shared" ca="1" si="0"/>
        <v>2</v>
      </c>
      <c r="J15" s="1">
        <v>37000</v>
      </c>
      <c r="K15" s="1">
        <v>7400</v>
      </c>
      <c r="L15" s="1">
        <v>3700</v>
      </c>
      <c r="M15" s="1">
        <v>3500</v>
      </c>
      <c r="N15" s="1">
        <v>2200</v>
      </c>
      <c r="O15" s="1">
        <f t="shared" si="1"/>
        <v>53800</v>
      </c>
      <c r="P15" s="1">
        <v>3700</v>
      </c>
      <c r="Q15" s="1">
        <v>2300</v>
      </c>
      <c r="R15" s="1">
        <v>350</v>
      </c>
      <c r="S15" s="1">
        <f t="shared" si="2"/>
        <v>6350</v>
      </c>
      <c r="T15" s="1">
        <f t="shared" si="3"/>
        <v>47450</v>
      </c>
    </row>
    <row r="16" spans="1:20">
      <c r="A16" s="1" t="s">
        <v>76</v>
      </c>
      <c r="B16" s="1" t="s">
        <v>77</v>
      </c>
      <c r="C16" s="1" t="s">
        <v>22</v>
      </c>
      <c r="D16" s="1" t="s">
        <v>23</v>
      </c>
      <c r="E16" s="1" t="s">
        <v>78</v>
      </c>
      <c r="F16" s="2">
        <v>45452</v>
      </c>
      <c r="G16" s="1" t="s">
        <v>25</v>
      </c>
      <c r="H16" s="1" t="s">
        <v>32</v>
      </c>
      <c r="I16" s="1">
        <f t="shared" ca="1" si="0"/>
        <v>2</v>
      </c>
      <c r="J16" s="1">
        <v>50000</v>
      </c>
      <c r="K16" s="1">
        <v>10000</v>
      </c>
      <c r="L16" s="1">
        <v>5000</v>
      </c>
      <c r="M16" s="1">
        <v>5000</v>
      </c>
      <c r="N16" s="1">
        <v>3000</v>
      </c>
      <c r="O16" s="1">
        <f t="shared" si="1"/>
        <v>73000</v>
      </c>
      <c r="P16" s="1">
        <v>5000</v>
      </c>
      <c r="Q16" s="1">
        <v>4000</v>
      </c>
      <c r="R16" s="1">
        <v>450</v>
      </c>
      <c r="S16" s="1">
        <f t="shared" si="2"/>
        <v>9450</v>
      </c>
      <c r="T16" s="1">
        <f t="shared" si="3"/>
        <v>63550</v>
      </c>
    </row>
    <row r="17" spans="1:20">
      <c r="A17" s="1" t="s">
        <v>79</v>
      </c>
      <c r="B17" s="1" t="s">
        <v>80</v>
      </c>
      <c r="C17" s="1" t="s">
        <v>29</v>
      </c>
      <c r="D17" s="1" t="s">
        <v>30</v>
      </c>
      <c r="E17" s="1" t="s">
        <v>81</v>
      </c>
      <c r="F17" s="2">
        <v>43889</v>
      </c>
      <c r="G17" s="1" t="s">
        <v>25</v>
      </c>
      <c r="H17" s="1" t="s">
        <v>26</v>
      </c>
      <c r="I17" s="1">
        <f t="shared" ca="1" si="0"/>
        <v>6</v>
      </c>
      <c r="J17" s="1">
        <v>62000</v>
      </c>
      <c r="K17" s="1">
        <v>12400</v>
      </c>
      <c r="L17" s="1">
        <v>6200</v>
      </c>
      <c r="M17" s="1">
        <v>7000</v>
      </c>
      <c r="N17" s="1">
        <v>4000</v>
      </c>
      <c r="O17" s="1">
        <f t="shared" si="1"/>
        <v>91600</v>
      </c>
      <c r="P17" s="1">
        <v>6200</v>
      </c>
      <c r="Q17" s="1">
        <v>5500</v>
      </c>
      <c r="R17" s="1">
        <v>600</v>
      </c>
      <c r="S17" s="1">
        <f t="shared" si="2"/>
        <v>12300</v>
      </c>
      <c r="T17" s="1">
        <f t="shared" si="3"/>
        <v>79300</v>
      </c>
    </row>
    <row r="18" spans="1:20">
      <c r="A18" s="1" t="s">
        <v>82</v>
      </c>
      <c r="B18" s="1" t="s">
        <v>83</v>
      </c>
      <c r="C18" s="1" t="s">
        <v>22</v>
      </c>
      <c r="D18" s="1" t="s">
        <v>53</v>
      </c>
      <c r="E18" s="1" t="s">
        <v>84</v>
      </c>
      <c r="F18" s="2">
        <v>44756</v>
      </c>
      <c r="G18" s="1" t="s">
        <v>25</v>
      </c>
      <c r="H18" s="1" t="s">
        <v>37</v>
      </c>
      <c r="I18" s="1">
        <f t="shared" ca="1" si="0"/>
        <v>4</v>
      </c>
      <c r="J18" s="1">
        <v>41000</v>
      </c>
      <c r="K18" s="1">
        <v>8200</v>
      </c>
      <c r="L18" s="1">
        <v>4100</v>
      </c>
      <c r="M18" s="1">
        <v>4500</v>
      </c>
      <c r="N18" s="1">
        <v>2500</v>
      </c>
      <c r="O18" s="1">
        <f t="shared" si="1"/>
        <v>60300</v>
      </c>
      <c r="P18" s="1">
        <v>4100</v>
      </c>
      <c r="Q18" s="1">
        <v>2700</v>
      </c>
      <c r="R18" s="1">
        <v>400</v>
      </c>
      <c r="S18" s="1">
        <f t="shared" si="2"/>
        <v>7200</v>
      </c>
      <c r="T18" s="1">
        <f t="shared" si="3"/>
        <v>53100</v>
      </c>
    </row>
    <row r="19" spans="1:20">
      <c r="A19" s="1" t="s">
        <v>85</v>
      </c>
      <c r="B19" s="1" t="s">
        <v>86</v>
      </c>
      <c r="C19" s="1" t="s">
        <v>29</v>
      </c>
      <c r="D19" s="1" t="s">
        <v>48</v>
      </c>
      <c r="E19" s="1" t="s">
        <v>49</v>
      </c>
      <c r="F19" s="2">
        <v>45682</v>
      </c>
      <c r="G19" s="1" t="s">
        <v>25</v>
      </c>
      <c r="H19" s="1" t="s">
        <v>26</v>
      </c>
      <c r="I19" s="1">
        <f t="shared" ca="1" si="0"/>
        <v>1</v>
      </c>
      <c r="J19" s="1">
        <v>33000</v>
      </c>
      <c r="K19" s="1">
        <v>6600</v>
      </c>
      <c r="L19" s="1">
        <v>3300</v>
      </c>
      <c r="M19" s="1">
        <v>3000</v>
      </c>
      <c r="N19" s="1">
        <v>1800</v>
      </c>
      <c r="O19" s="1">
        <f t="shared" si="1"/>
        <v>47700</v>
      </c>
      <c r="P19" s="1">
        <v>3300</v>
      </c>
      <c r="Q19" s="1">
        <v>1700</v>
      </c>
      <c r="R19" s="1">
        <v>300</v>
      </c>
      <c r="S19" s="1">
        <f t="shared" si="2"/>
        <v>5300</v>
      </c>
      <c r="T19" s="1">
        <f t="shared" si="3"/>
        <v>42400</v>
      </c>
    </row>
    <row r="20" spans="1:20">
      <c r="A20" s="1" t="s">
        <v>87</v>
      </c>
      <c r="B20" s="1" t="s">
        <v>88</v>
      </c>
      <c r="C20" s="1" t="s">
        <v>22</v>
      </c>
      <c r="D20" s="1" t="s">
        <v>35</v>
      </c>
      <c r="E20" s="1" t="s">
        <v>89</v>
      </c>
      <c r="F20" s="2">
        <v>44450</v>
      </c>
      <c r="G20" s="1" t="s">
        <v>25</v>
      </c>
      <c r="H20" s="1" t="s">
        <v>32</v>
      </c>
      <c r="I20" s="1">
        <f t="shared" ca="1" si="0"/>
        <v>5</v>
      </c>
      <c r="J20" s="1">
        <v>47000</v>
      </c>
      <c r="K20" s="1">
        <v>9400</v>
      </c>
      <c r="L20" s="1">
        <v>4700</v>
      </c>
      <c r="M20" s="1">
        <v>5000</v>
      </c>
      <c r="N20" s="1">
        <v>2800</v>
      </c>
      <c r="O20" s="1">
        <f t="shared" si="1"/>
        <v>68900</v>
      </c>
      <c r="P20" s="1">
        <v>4700</v>
      </c>
      <c r="Q20" s="1">
        <v>3400</v>
      </c>
      <c r="R20" s="1">
        <v>450</v>
      </c>
      <c r="S20" s="1">
        <f t="shared" si="2"/>
        <v>8550</v>
      </c>
      <c r="T20" s="1">
        <f t="shared" si="3"/>
        <v>60350</v>
      </c>
    </row>
    <row r="21" spans="1:20">
      <c r="A21" s="1" t="s">
        <v>90</v>
      </c>
      <c r="B21" s="1" t="s">
        <v>91</v>
      </c>
      <c r="C21" s="1" t="s">
        <v>29</v>
      </c>
      <c r="D21" s="1" t="s">
        <v>23</v>
      </c>
      <c r="E21" s="1" t="s">
        <v>92</v>
      </c>
      <c r="F21" s="2">
        <v>45022</v>
      </c>
      <c r="G21" s="1" t="s">
        <v>25</v>
      </c>
      <c r="H21" s="1" t="s">
        <v>26</v>
      </c>
      <c r="I21" s="1">
        <f t="shared" ca="1" si="0"/>
        <v>3</v>
      </c>
      <c r="J21" s="1">
        <v>46000</v>
      </c>
      <c r="K21" s="1">
        <v>9200</v>
      </c>
      <c r="L21" s="1">
        <v>4600</v>
      </c>
      <c r="M21" s="1">
        <v>4500</v>
      </c>
      <c r="N21" s="1">
        <v>2800</v>
      </c>
      <c r="O21" s="1">
        <f t="shared" si="1"/>
        <v>67100</v>
      </c>
      <c r="P21" s="1">
        <v>4600</v>
      </c>
      <c r="Q21" s="1">
        <v>3200</v>
      </c>
      <c r="R21" s="1">
        <v>400</v>
      </c>
      <c r="S21" s="1">
        <f t="shared" si="2"/>
        <v>8200</v>
      </c>
      <c r="T21" s="1">
        <f t="shared" si="3"/>
        <v>58900</v>
      </c>
    </row>
    <row r="22" spans="1:20">
      <c r="A22" s="1" t="s">
        <v>93</v>
      </c>
      <c r="B22" s="1" t="s">
        <v>94</v>
      </c>
      <c r="C22" s="1" t="s">
        <v>22</v>
      </c>
      <c r="D22" s="1" t="s">
        <v>40</v>
      </c>
      <c r="E22" s="1" t="s">
        <v>95</v>
      </c>
      <c r="F22" s="2">
        <v>44060</v>
      </c>
      <c r="G22" s="1" t="s">
        <v>25</v>
      </c>
      <c r="H22" s="1" t="s">
        <v>45</v>
      </c>
      <c r="I22" s="1">
        <f t="shared" ca="1" si="0"/>
        <v>6</v>
      </c>
      <c r="J22" s="1">
        <v>60000</v>
      </c>
      <c r="K22" s="1">
        <v>12000</v>
      </c>
      <c r="L22" s="1">
        <v>6000</v>
      </c>
      <c r="M22" s="1">
        <v>7000</v>
      </c>
      <c r="N22" s="1">
        <v>4000</v>
      </c>
      <c r="O22" s="1">
        <f t="shared" si="1"/>
        <v>89000</v>
      </c>
      <c r="P22" s="1">
        <v>6000</v>
      </c>
      <c r="Q22" s="1">
        <v>5200</v>
      </c>
      <c r="R22" s="1">
        <v>600</v>
      </c>
      <c r="S22" s="1">
        <f t="shared" si="2"/>
        <v>11800</v>
      </c>
      <c r="T22" s="1">
        <f t="shared" si="3"/>
        <v>77200</v>
      </c>
    </row>
    <row r="23" spans="1:20">
      <c r="A23" s="1" t="s">
        <v>96</v>
      </c>
      <c r="B23" s="1" t="s">
        <v>97</v>
      </c>
      <c r="C23" s="1" t="s">
        <v>29</v>
      </c>
      <c r="D23" s="1" t="s">
        <v>35</v>
      </c>
      <c r="E23" s="1" t="s">
        <v>36</v>
      </c>
      <c r="F23" s="2">
        <v>45625</v>
      </c>
      <c r="G23" s="1" t="s">
        <v>25</v>
      </c>
      <c r="H23" s="1" t="s">
        <v>26</v>
      </c>
      <c r="I23" s="1">
        <f t="shared" ca="1" si="0"/>
        <v>1</v>
      </c>
      <c r="J23" s="1">
        <v>40000</v>
      </c>
      <c r="K23" s="1">
        <v>8000</v>
      </c>
      <c r="L23" s="1">
        <v>4000</v>
      </c>
      <c r="M23" s="1">
        <v>4000</v>
      </c>
      <c r="N23" s="1">
        <v>2500</v>
      </c>
      <c r="O23" s="1">
        <f t="shared" si="1"/>
        <v>58500</v>
      </c>
      <c r="P23" s="1">
        <v>4000</v>
      </c>
      <c r="Q23" s="1">
        <v>2500</v>
      </c>
      <c r="R23" s="1">
        <v>400</v>
      </c>
      <c r="S23" s="1">
        <f t="shared" si="2"/>
        <v>6900</v>
      </c>
      <c r="T23" s="1">
        <f t="shared" si="3"/>
        <v>51600</v>
      </c>
    </row>
    <row r="24" spans="1:20">
      <c r="A24" s="1" t="s">
        <v>98</v>
      </c>
      <c r="B24" s="1" t="s">
        <v>99</v>
      </c>
      <c r="C24" s="1" t="s">
        <v>22</v>
      </c>
      <c r="D24" s="1" t="s">
        <v>23</v>
      </c>
      <c r="E24" s="1" t="s">
        <v>100</v>
      </c>
      <c r="F24" s="2">
        <v>44605</v>
      </c>
      <c r="G24" s="1" t="s">
        <v>25</v>
      </c>
      <c r="H24" s="1" t="s">
        <v>32</v>
      </c>
      <c r="I24" s="1">
        <f t="shared" ca="1" si="0"/>
        <v>4</v>
      </c>
      <c r="J24" s="1">
        <v>55000</v>
      </c>
      <c r="K24" s="1">
        <v>11000</v>
      </c>
      <c r="L24" s="1">
        <v>5500</v>
      </c>
      <c r="M24" s="1">
        <v>6000</v>
      </c>
      <c r="N24" s="1">
        <v>3500</v>
      </c>
      <c r="O24" s="1">
        <f t="shared" si="1"/>
        <v>81000</v>
      </c>
      <c r="P24" s="1">
        <v>5500</v>
      </c>
      <c r="Q24" s="1">
        <v>4500</v>
      </c>
      <c r="R24" s="1">
        <v>500</v>
      </c>
      <c r="S24" s="1">
        <f t="shared" si="2"/>
        <v>10500</v>
      </c>
      <c r="T24" s="1">
        <f t="shared" si="3"/>
        <v>70500</v>
      </c>
    </row>
    <row r="25" spans="1:20">
      <c r="A25" s="1" t="s">
        <v>101</v>
      </c>
      <c r="B25" s="1" t="s">
        <v>102</v>
      </c>
      <c r="C25" s="1" t="s">
        <v>29</v>
      </c>
      <c r="D25" s="1" t="s">
        <v>30</v>
      </c>
      <c r="E25" s="1" t="s">
        <v>31</v>
      </c>
      <c r="F25" s="2">
        <v>45938</v>
      </c>
      <c r="G25" s="1" t="s">
        <v>25</v>
      </c>
      <c r="H25" s="1" t="s">
        <v>37</v>
      </c>
      <c r="I25" s="1">
        <f t="shared" ca="1" si="0"/>
        <v>1</v>
      </c>
      <c r="J25" s="1">
        <v>36000</v>
      </c>
      <c r="K25" s="1">
        <v>7200</v>
      </c>
      <c r="L25" s="1">
        <v>3600</v>
      </c>
      <c r="M25" s="1">
        <v>3500</v>
      </c>
      <c r="N25" s="1">
        <v>2000</v>
      </c>
      <c r="O25" s="1">
        <f t="shared" si="1"/>
        <v>52300</v>
      </c>
      <c r="P25" s="1">
        <v>3600</v>
      </c>
      <c r="Q25" s="1">
        <v>2100</v>
      </c>
      <c r="R25" s="1">
        <v>350</v>
      </c>
      <c r="S25" s="1">
        <f t="shared" si="2"/>
        <v>6050</v>
      </c>
      <c r="T25" s="1">
        <f t="shared" si="3"/>
        <v>46250</v>
      </c>
    </row>
    <row r="26" spans="1:20">
      <c r="A26" s="1" t="s">
        <v>103</v>
      </c>
      <c r="B26" s="1" t="s">
        <v>104</v>
      </c>
      <c r="C26" s="1" t="s">
        <v>22</v>
      </c>
      <c r="D26" s="1" t="s">
        <v>48</v>
      </c>
      <c r="E26" s="1" t="s">
        <v>49</v>
      </c>
      <c r="F26" s="2">
        <v>45066</v>
      </c>
      <c r="G26" s="1" t="s">
        <v>25</v>
      </c>
      <c r="H26" s="1" t="s">
        <v>26</v>
      </c>
      <c r="I26" s="1">
        <f t="shared" ca="1" si="0"/>
        <v>3</v>
      </c>
      <c r="J26" s="1">
        <v>35000</v>
      </c>
      <c r="K26" s="1">
        <v>7000</v>
      </c>
      <c r="L26" s="1">
        <v>3500</v>
      </c>
      <c r="M26" s="1">
        <v>4000</v>
      </c>
      <c r="N26" s="1">
        <v>2200</v>
      </c>
      <c r="O26" s="1">
        <f t="shared" si="1"/>
        <v>51700</v>
      </c>
      <c r="P26" s="1">
        <v>3500</v>
      </c>
      <c r="Q26" s="1">
        <v>2000</v>
      </c>
      <c r="R26" s="1">
        <v>350</v>
      </c>
      <c r="S26" s="1">
        <f t="shared" si="2"/>
        <v>5850</v>
      </c>
      <c r="T26" s="1">
        <f t="shared" si="3"/>
        <v>45850</v>
      </c>
    </row>
    <row r="27" spans="1:20">
      <c r="A27" s="1" t="s">
        <v>105</v>
      </c>
      <c r="B27" s="1" t="s">
        <v>106</v>
      </c>
      <c r="C27" s="1" t="s">
        <v>29</v>
      </c>
      <c r="D27" s="1" t="s">
        <v>23</v>
      </c>
      <c r="E27" s="1" t="s">
        <v>107</v>
      </c>
      <c r="F27" s="2">
        <v>44643</v>
      </c>
      <c r="G27" s="1" t="s">
        <v>25</v>
      </c>
      <c r="H27" s="1" t="s">
        <v>26</v>
      </c>
      <c r="I27" s="1">
        <f t="shared" ca="1" si="0"/>
        <v>4</v>
      </c>
      <c r="J27" s="1">
        <v>42000</v>
      </c>
      <c r="K27" s="1">
        <v>8400</v>
      </c>
      <c r="L27" s="1">
        <v>4200</v>
      </c>
      <c r="M27" s="1">
        <v>4500</v>
      </c>
      <c r="N27" s="1">
        <v>2500</v>
      </c>
      <c r="O27" s="1">
        <f t="shared" si="1"/>
        <v>61600</v>
      </c>
      <c r="P27" s="1">
        <v>4200</v>
      </c>
      <c r="Q27" s="1">
        <v>2800</v>
      </c>
      <c r="R27" s="1">
        <v>400</v>
      </c>
      <c r="S27" s="1">
        <f t="shared" si="2"/>
        <v>7400</v>
      </c>
      <c r="T27" s="1">
        <f t="shared" si="3"/>
        <v>54200</v>
      </c>
    </row>
    <row r="28" spans="1:20">
      <c r="A28" s="1" t="s">
        <v>108</v>
      </c>
      <c r="B28" s="1" t="s">
        <v>109</v>
      </c>
      <c r="C28" s="1" t="s">
        <v>22</v>
      </c>
      <c r="D28" s="1" t="s">
        <v>35</v>
      </c>
      <c r="E28" s="1" t="s">
        <v>110</v>
      </c>
      <c r="F28" s="2">
        <v>44362</v>
      </c>
      <c r="G28" s="1" t="s">
        <v>25</v>
      </c>
      <c r="H28" s="1" t="s">
        <v>32</v>
      </c>
      <c r="I28" s="1">
        <f t="shared" ca="1" si="0"/>
        <v>5</v>
      </c>
      <c r="J28" s="1">
        <v>39000</v>
      </c>
      <c r="K28" s="1">
        <v>7800</v>
      </c>
      <c r="L28" s="1">
        <v>3900</v>
      </c>
      <c r="M28" s="1">
        <v>4000</v>
      </c>
      <c r="N28" s="1">
        <v>2300</v>
      </c>
      <c r="O28" s="1">
        <f t="shared" si="1"/>
        <v>57000</v>
      </c>
      <c r="P28" s="1">
        <v>3900</v>
      </c>
      <c r="Q28" s="1">
        <v>2400</v>
      </c>
      <c r="R28" s="1">
        <v>350</v>
      </c>
      <c r="S28" s="1">
        <f t="shared" si="2"/>
        <v>6650</v>
      </c>
      <c r="T28" s="1">
        <f t="shared" si="3"/>
        <v>50350</v>
      </c>
    </row>
    <row r="29" spans="1:20">
      <c r="A29" s="1" t="s">
        <v>111</v>
      </c>
      <c r="B29" s="1" t="s">
        <v>112</v>
      </c>
      <c r="C29" s="1" t="s">
        <v>29</v>
      </c>
      <c r="D29" s="1" t="s">
        <v>40</v>
      </c>
      <c r="E29" s="1" t="s">
        <v>113</v>
      </c>
      <c r="F29" s="2">
        <v>45262</v>
      </c>
      <c r="G29" s="1" t="s">
        <v>25</v>
      </c>
      <c r="H29" s="1" t="s">
        <v>26</v>
      </c>
      <c r="I29" s="1">
        <f t="shared" ca="1" si="0"/>
        <v>2</v>
      </c>
      <c r="J29" s="1">
        <v>38000</v>
      </c>
      <c r="K29" s="1">
        <v>7600</v>
      </c>
      <c r="L29" s="1">
        <v>3800</v>
      </c>
      <c r="M29" s="1">
        <v>4000</v>
      </c>
      <c r="N29" s="1">
        <v>2400</v>
      </c>
      <c r="O29" s="1">
        <f t="shared" si="1"/>
        <v>55800</v>
      </c>
      <c r="P29" s="1">
        <v>3800</v>
      </c>
      <c r="Q29" s="1">
        <v>2400</v>
      </c>
      <c r="R29" s="1">
        <v>350</v>
      </c>
      <c r="S29" s="1">
        <f t="shared" si="2"/>
        <v>6550</v>
      </c>
      <c r="T29" s="1">
        <f t="shared" si="3"/>
        <v>49250</v>
      </c>
    </row>
    <row r="30" spans="1:20">
      <c r="A30" s="1" t="s">
        <v>114</v>
      </c>
      <c r="B30" s="1" t="s">
        <v>115</v>
      </c>
      <c r="C30" s="1" t="s">
        <v>22</v>
      </c>
      <c r="D30" s="1" t="s">
        <v>53</v>
      </c>
      <c r="E30" s="1" t="s">
        <v>116</v>
      </c>
      <c r="F30" s="2">
        <v>45310</v>
      </c>
      <c r="G30" s="1" t="s">
        <v>25</v>
      </c>
      <c r="H30" s="1" t="s">
        <v>37</v>
      </c>
      <c r="I30" s="1">
        <f t="shared" ca="1" si="0"/>
        <v>2</v>
      </c>
      <c r="J30" s="1">
        <v>34000</v>
      </c>
      <c r="K30" s="1">
        <v>6800</v>
      </c>
      <c r="L30" s="1">
        <v>3400</v>
      </c>
      <c r="M30" s="1">
        <v>3500</v>
      </c>
      <c r="N30" s="1">
        <v>2000</v>
      </c>
      <c r="O30" s="1">
        <f t="shared" si="1"/>
        <v>49700</v>
      </c>
      <c r="P30" s="1">
        <v>3400</v>
      </c>
      <c r="Q30" s="1">
        <v>1900</v>
      </c>
      <c r="R30" s="1">
        <v>300</v>
      </c>
      <c r="S30" s="1">
        <f t="shared" si="2"/>
        <v>5600</v>
      </c>
      <c r="T30" s="1">
        <f t="shared" si="3"/>
        <v>44100</v>
      </c>
    </row>
    <row r="31" spans="1:20">
      <c r="A31" s="1" t="s">
        <v>117</v>
      </c>
      <c r="B31" s="1" t="s">
        <v>118</v>
      </c>
      <c r="C31" s="1" t="s">
        <v>29</v>
      </c>
      <c r="D31" s="1" t="s">
        <v>48</v>
      </c>
      <c r="E31" s="1" t="s">
        <v>119</v>
      </c>
      <c r="F31" s="2">
        <v>45845</v>
      </c>
      <c r="G31" s="1" t="s">
        <v>25</v>
      </c>
      <c r="H31" s="1" t="s">
        <v>26</v>
      </c>
      <c r="I31" s="1">
        <f t="shared" ca="1" si="0"/>
        <v>1</v>
      </c>
      <c r="J31" s="1">
        <v>32000</v>
      </c>
      <c r="K31" s="1">
        <v>6400</v>
      </c>
      <c r="L31" s="1">
        <v>3200</v>
      </c>
      <c r="M31" s="1">
        <v>3000</v>
      </c>
      <c r="N31" s="1">
        <v>1800</v>
      </c>
      <c r="O31" s="1">
        <f t="shared" si="1"/>
        <v>46400</v>
      </c>
      <c r="P31" s="1">
        <v>3200</v>
      </c>
      <c r="Q31" s="1">
        <v>1700</v>
      </c>
      <c r="R31" s="1">
        <v>300</v>
      </c>
      <c r="S31" s="1">
        <f t="shared" si="2"/>
        <v>5200</v>
      </c>
      <c r="T31" s="1">
        <f t="shared" si="3"/>
        <v>41200</v>
      </c>
    </row>
    <row r="32" spans="1:20">
      <c r="A32" s="1" t="s">
        <v>120</v>
      </c>
      <c r="B32" s="1" t="s">
        <v>121</v>
      </c>
      <c r="C32" s="1" t="s">
        <v>22</v>
      </c>
      <c r="D32" s="1" t="s">
        <v>23</v>
      </c>
      <c r="E32" s="1" t="s">
        <v>122</v>
      </c>
      <c r="F32" s="2">
        <v>43932</v>
      </c>
      <c r="G32" s="1" t="s">
        <v>25</v>
      </c>
      <c r="H32" s="1" t="s">
        <v>32</v>
      </c>
      <c r="I32" s="1">
        <f t="shared" ca="1" si="0"/>
        <v>6</v>
      </c>
      <c r="J32" s="1">
        <v>58000</v>
      </c>
      <c r="K32" s="1">
        <v>11600</v>
      </c>
      <c r="L32" s="1">
        <v>5800</v>
      </c>
      <c r="M32" s="1">
        <v>6500</v>
      </c>
      <c r="N32" s="1">
        <v>3500</v>
      </c>
      <c r="O32" s="1">
        <f t="shared" si="1"/>
        <v>85400</v>
      </c>
      <c r="P32" s="1">
        <v>5800</v>
      </c>
      <c r="Q32" s="1">
        <v>4800</v>
      </c>
      <c r="R32" s="1">
        <v>500</v>
      </c>
      <c r="S32" s="1">
        <f t="shared" si="2"/>
        <v>11100</v>
      </c>
      <c r="T32" s="1">
        <f t="shared" si="3"/>
        <v>74300</v>
      </c>
    </row>
    <row r="33" spans="1:20">
      <c r="A33" s="1" t="s">
        <v>123</v>
      </c>
      <c r="B33" s="1" t="s">
        <v>124</v>
      </c>
      <c r="C33" s="1" t="s">
        <v>29</v>
      </c>
      <c r="D33" s="1" t="s">
        <v>30</v>
      </c>
      <c r="E33" s="1" t="s">
        <v>125</v>
      </c>
      <c r="F33" s="2">
        <v>44830</v>
      </c>
      <c r="G33" s="1" t="s">
        <v>25</v>
      </c>
      <c r="H33" s="1" t="s">
        <v>26</v>
      </c>
      <c r="I33" s="1">
        <f t="shared" ca="1" si="0"/>
        <v>4</v>
      </c>
      <c r="J33" s="1">
        <v>37000</v>
      </c>
      <c r="K33" s="1">
        <v>7400</v>
      </c>
      <c r="L33" s="1">
        <v>3700</v>
      </c>
      <c r="M33" s="1">
        <v>3500</v>
      </c>
      <c r="N33" s="1">
        <v>2200</v>
      </c>
      <c r="O33" s="1">
        <f t="shared" si="1"/>
        <v>53800</v>
      </c>
      <c r="P33" s="1">
        <v>3700</v>
      </c>
      <c r="Q33" s="1">
        <v>2200</v>
      </c>
      <c r="R33" s="1">
        <v>350</v>
      </c>
      <c r="S33" s="1">
        <f t="shared" si="2"/>
        <v>6250</v>
      </c>
      <c r="T33" s="1">
        <f t="shared" si="3"/>
        <v>47550</v>
      </c>
    </row>
    <row r="34" spans="1:20">
      <c r="A34" s="1" t="s">
        <v>126</v>
      </c>
      <c r="B34" s="1" t="s">
        <v>127</v>
      </c>
      <c r="C34" s="1" t="s">
        <v>22</v>
      </c>
      <c r="D34" s="1" t="s">
        <v>35</v>
      </c>
      <c r="E34" s="1" t="s">
        <v>128</v>
      </c>
      <c r="F34" s="2">
        <v>43500</v>
      </c>
      <c r="G34" s="1" t="s">
        <v>25</v>
      </c>
      <c r="H34" s="1" t="s">
        <v>45</v>
      </c>
      <c r="I34" s="1">
        <f t="shared" ref="I34:I65" ca="1" si="4">DATEDIF(F34,TODAY(),"Y")</f>
        <v>7</v>
      </c>
      <c r="J34" s="1">
        <v>68000</v>
      </c>
      <c r="K34" s="1">
        <v>13600</v>
      </c>
      <c r="L34" s="1">
        <v>6800</v>
      </c>
      <c r="M34" s="1">
        <v>7500</v>
      </c>
      <c r="N34" s="1">
        <v>4000</v>
      </c>
      <c r="O34" s="1">
        <f t="shared" si="1"/>
        <v>99900</v>
      </c>
      <c r="P34" s="1">
        <v>6800</v>
      </c>
      <c r="Q34" s="1">
        <v>6200</v>
      </c>
      <c r="R34" s="1">
        <v>700</v>
      </c>
      <c r="S34" s="1">
        <f t="shared" si="2"/>
        <v>13700</v>
      </c>
      <c r="T34" s="1">
        <f t="shared" si="3"/>
        <v>86200</v>
      </c>
    </row>
    <row r="35" spans="1:20">
      <c r="A35" s="1" t="s">
        <v>129</v>
      </c>
      <c r="B35" s="1" t="s">
        <v>130</v>
      </c>
      <c r="C35" s="1" t="s">
        <v>29</v>
      </c>
      <c r="D35" s="1" t="s">
        <v>40</v>
      </c>
      <c r="E35" s="1" t="s">
        <v>131</v>
      </c>
      <c r="F35" s="2">
        <v>45430</v>
      </c>
      <c r="G35" s="1" t="s">
        <v>25</v>
      </c>
      <c r="H35" s="1" t="s">
        <v>26</v>
      </c>
      <c r="I35" s="1">
        <f t="shared" ca="1" si="4"/>
        <v>2</v>
      </c>
      <c r="J35" s="1">
        <v>36000</v>
      </c>
      <c r="K35" s="1">
        <v>7200</v>
      </c>
      <c r="L35" s="1">
        <v>3600</v>
      </c>
      <c r="M35" s="1">
        <v>3500</v>
      </c>
      <c r="N35" s="1">
        <v>2000</v>
      </c>
      <c r="O35" s="1">
        <f t="shared" si="1"/>
        <v>52300</v>
      </c>
      <c r="P35" s="1">
        <v>3600</v>
      </c>
      <c r="Q35" s="1">
        <v>2100</v>
      </c>
      <c r="R35" s="1">
        <v>300</v>
      </c>
      <c r="S35" s="1">
        <f t="shared" si="2"/>
        <v>6000</v>
      </c>
      <c r="T35" s="1">
        <f t="shared" si="3"/>
        <v>46300</v>
      </c>
    </row>
    <row r="36" spans="1:20">
      <c r="A36" s="1" t="s">
        <v>132</v>
      </c>
      <c r="B36" s="1" t="s">
        <v>133</v>
      </c>
      <c r="C36" s="1" t="s">
        <v>22</v>
      </c>
      <c r="D36" s="1" t="s">
        <v>48</v>
      </c>
      <c r="E36" s="1" t="s">
        <v>72</v>
      </c>
      <c r="F36" s="2">
        <v>44499</v>
      </c>
      <c r="G36" s="1" t="s">
        <v>25</v>
      </c>
      <c r="H36" s="1" t="s">
        <v>32</v>
      </c>
      <c r="I36" s="1">
        <f t="shared" ca="1" si="4"/>
        <v>4</v>
      </c>
      <c r="J36" s="1">
        <v>59000</v>
      </c>
      <c r="K36" s="1">
        <v>11800</v>
      </c>
      <c r="L36" s="1">
        <v>5900</v>
      </c>
      <c r="M36" s="1">
        <v>6500</v>
      </c>
      <c r="N36" s="1">
        <v>3500</v>
      </c>
      <c r="O36" s="1">
        <f t="shared" si="1"/>
        <v>86700</v>
      </c>
      <c r="P36" s="1">
        <v>5900</v>
      </c>
      <c r="Q36" s="1">
        <v>5000</v>
      </c>
      <c r="R36" s="1">
        <v>550</v>
      </c>
      <c r="S36" s="1">
        <f t="shared" si="2"/>
        <v>11450</v>
      </c>
      <c r="T36" s="1">
        <f t="shared" si="3"/>
        <v>75250</v>
      </c>
    </row>
    <row r="37" spans="1:20">
      <c r="A37" s="1" t="s">
        <v>134</v>
      </c>
      <c r="B37" s="1" t="s">
        <v>135</v>
      </c>
      <c r="C37" s="1" t="s">
        <v>29</v>
      </c>
      <c r="D37" s="1" t="s">
        <v>23</v>
      </c>
      <c r="E37" s="1" t="s">
        <v>136</v>
      </c>
      <c r="F37" s="2">
        <v>44997</v>
      </c>
      <c r="G37" s="1" t="s">
        <v>25</v>
      </c>
      <c r="H37" s="1" t="s">
        <v>26</v>
      </c>
      <c r="I37" s="1">
        <f t="shared" ca="1" si="4"/>
        <v>3</v>
      </c>
      <c r="J37" s="1">
        <v>45000</v>
      </c>
      <c r="K37" s="1">
        <v>9000</v>
      </c>
      <c r="L37" s="1">
        <v>4500</v>
      </c>
      <c r="M37" s="1">
        <v>4500</v>
      </c>
      <c r="N37" s="1">
        <v>2700</v>
      </c>
      <c r="O37" s="1">
        <f t="shared" si="1"/>
        <v>65700</v>
      </c>
      <c r="P37" s="1">
        <v>4500</v>
      </c>
      <c r="Q37" s="1">
        <v>3100</v>
      </c>
      <c r="R37" s="1">
        <v>400</v>
      </c>
      <c r="S37" s="1">
        <f t="shared" si="2"/>
        <v>8000</v>
      </c>
      <c r="T37" s="1">
        <f t="shared" si="3"/>
        <v>57700</v>
      </c>
    </row>
    <row r="38" spans="1:20">
      <c r="A38" s="1" t="s">
        <v>137</v>
      </c>
      <c r="B38" s="1" t="s">
        <v>138</v>
      </c>
      <c r="C38" s="1" t="s">
        <v>22</v>
      </c>
      <c r="D38" s="1" t="s">
        <v>53</v>
      </c>
      <c r="E38" s="1" t="s">
        <v>139</v>
      </c>
      <c r="F38" s="2">
        <v>44794</v>
      </c>
      <c r="G38" s="1" t="s">
        <v>25</v>
      </c>
      <c r="H38" s="1" t="s">
        <v>37</v>
      </c>
      <c r="I38" s="1">
        <f t="shared" ca="1" si="4"/>
        <v>4</v>
      </c>
      <c r="J38" s="1">
        <v>40000</v>
      </c>
      <c r="K38" s="1">
        <v>8000</v>
      </c>
      <c r="L38" s="1">
        <v>4000</v>
      </c>
      <c r="M38" s="1">
        <v>4000</v>
      </c>
      <c r="N38" s="1">
        <v>2300</v>
      </c>
      <c r="O38" s="1">
        <f t="shared" si="1"/>
        <v>58300</v>
      </c>
      <c r="P38" s="1">
        <v>4000</v>
      </c>
      <c r="Q38" s="1">
        <v>2600</v>
      </c>
      <c r="R38" s="1">
        <v>350</v>
      </c>
      <c r="S38" s="1">
        <f t="shared" si="2"/>
        <v>6950</v>
      </c>
      <c r="T38" s="1">
        <f t="shared" si="3"/>
        <v>51350</v>
      </c>
    </row>
    <row r="39" spans="1:20">
      <c r="A39" s="1" t="s">
        <v>140</v>
      </c>
      <c r="B39" s="1" t="s">
        <v>141</v>
      </c>
      <c r="C39" s="1" t="s">
        <v>29</v>
      </c>
      <c r="D39" s="1" t="s">
        <v>35</v>
      </c>
      <c r="E39" s="1" t="s">
        <v>36</v>
      </c>
      <c r="F39" s="2">
        <v>46000</v>
      </c>
      <c r="G39" s="1" t="s">
        <v>25</v>
      </c>
      <c r="H39" s="1" t="s">
        <v>26</v>
      </c>
      <c r="I39" s="1">
        <f t="shared" ca="1" si="4"/>
        <v>0</v>
      </c>
      <c r="J39" s="1">
        <v>41000</v>
      </c>
      <c r="K39" s="1">
        <v>8200</v>
      </c>
      <c r="L39" s="1">
        <v>4100</v>
      </c>
      <c r="M39" s="1">
        <v>4000</v>
      </c>
      <c r="N39" s="1">
        <v>2500</v>
      </c>
      <c r="O39" s="1">
        <f t="shared" si="1"/>
        <v>59800</v>
      </c>
      <c r="P39" s="1">
        <v>4100</v>
      </c>
      <c r="Q39" s="1">
        <v>2700</v>
      </c>
      <c r="R39" s="1">
        <v>350</v>
      </c>
      <c r="S39" s="1">
        <f t="shared" si="2"/>
        <v>7150</v>
      </c>
      <c r="T39" s="1">
        <f t="shared" si="3"/>
        <v>52650</v>
      </c>
    </row>
    <row r="40" spans="1:20">
      <c r="A40" s="1" t="s">
        <v>142</v>
      </c>
      <c r="B40" s="1" t="s">
        <v>143</v>
      </c>
      <c r="C40" s="1" t="s">
        <v>22</v>
      </c>
      <c r="D40" s="1" t="s">
        <v>23</v>
      </c>
      <c r="E40" s="1" t="s">
        <v>144</v>
      </c>
      <c r="F40" s="2">
        <v>44212</v>
      </c>
      <c r="G40" s="1" t="s">
        <v>25</v>
      </c>
      <c r="H40" s="1" t="s">
        <v>32</v>
      </c>
      <c r="I40" s="1">
        <f t="shared" ca="1" si="4"/>
        <v>5</v>
      </c>
      <c r="J40" s="1">
        <v>57000</v>
      </c>
      <c r="K40" s="1">
        <v>11400</v>
      </c>
      <c r="L40" s="1">
        <v>5700</v>
      </c>
      <c r="M40" s="1">
        <v>6000</v>
      </c>
      <c r="N40" s="1">
        <v>3500</v>
      </c>
      <c r="O40" s="1">
        <f t="shared" si="1"/>
        <v>83600</v>
      </c>
      <c r="P40" s="1">
        <v>5700</v>
      </c>
      <c r="Q40" s="1">
        <v>4700</v>
      </c>
      <c r="R40" s="1">
        <v>500</v>
      </c>
      <c r="S40" s="1">
        <f t="shared" si="2"/>
        <v>10900</v>
      </c>
      <c r="T40" s="1">
        <f t="shared" si="3"/>
        <v>72700</v>
      </c>
    </row>
    <row r="41" spans="1:20">
      <c r="A41" s="1" t="s">
        <v>145</v>
      </c>
      <c r="B41" s="1" t="s">
        <v>146</v>
      </c>
      <c r="C41" s="1" t="s">
        <v>29</v>
      </c>
      <c r="D41" s="1" t="s">
        <v>48</v>
      </c>
      <c r="E41" s="1" t="s">
        <v>49</v>
      </c>
      <c r="F41" s="2">
        <v>45471</v>
      </c>
      <c r="G41" s="1" t="s">
        <v>25</v>
      </c>
      <c r="H41" s="1" t="s">
        <v>26</v>
      </c>
      <c r="I41" s="1">
        <f t="shared" ca="1" si="4"/>
        <v>2</v>
      </c>
      <c r="J41" s="1">
        <v>34000</v>
      </c>
      <c r="K41" s="1">
        <v>6800</v>
      </c>
      <c r="L41" s="1">
        <v>3400</v>
      </c>
      <c r="M41" s="1">
        <v>3500</v>
      </c>
      <c r="N41" s="1">
        <v>2000</v>
      </c>
      <c r="O41" s="1">
        <f t="shared" si="1"/>
        <v>49700</v>
      </c>
      <c r="P41" s="1">
        <v>3400</v>
      </c>
      <c r="Q41" s="1">
        <v>1900</v>
      </c>
      <c r="R41" s="1">
        <v>300</v>
      </c>
      <c r="S41" s="1">
        <f t="shared" si="2"/>
        <v>5600</v>
      </c>
      <c r="T41" s="1">
        <f t="shared" si="3"/>
        <v>44100</v>
      </c>
    </row>
    <row r="42" spans="1:20">
      <c r="A42" s="1" t="s">
        <v>147</v>
      </c>
      <c r="B42" s="1" t="s">
        <v>148</v>
      </c>
      <c r="C42" s="1" t="s">
        <v>22</v>
      </c>
      <c r="D42" s="1" t="s">
        <v>30</v>
      </c>
      <c r="E42" s="1" t="s">
        <v>149</v>
      </c>
      <c r="F42" s="2">
        <v>45021</v>
      </c>
      <c r="G42" s="1" t="s">
        <v>25</v>
      </c>
      <c r="H42" s="1" t="s">
        <v>45</v>
      </c>
      <c r="I42" s="1">
        <f t="shared" ca="1" si="4"/>
        <v>3</v>
      </c>
      <c r="J42" s="1">
        <v>33000</v>
      </c>
      <c r="K42" s="1">
        <v>6600</v>
      </c>
      <c r="L42" s="1">
        <v>3300</v>
      </c>
      <c r="M42" s="1">
        <v>3000</v>
      </c>
      <c r="N42" s="1">
        <v>1800</v>
      </c>
      <c r="O42" s="1">
        <f t="shared" si="1"/>
        <v>47700</v>
      </c>
      <c r="P42" s="1">
        <v>3300</v>
      </c>
      <c r="Q42" s="1">
        <v>1800</v>
      </c>
      <c r="R42" s="1">
        <v>300</v>
      </c>
      <c r="S42" s="1">
        <f t="shared" si="2"/>
        <v>5400</v>
      </c>
      <c r="T42" s="1">
        <f t="shared" si="3"/>
        <v>42300</v>
      </c>
    </row>
    <row r="43" spans="1:20">
      <c r="A43" s="1" t="s">
        <v>150</v>
      </c>
      <c r="B43" s="1" t="s">
        <v>151</v>
      </c>
      <c r="C43" s="1" t="s">
        <v>29</v>
      </c>
      <c r="D43" s="1" t="s">
        <v>40</v>
      </c>
      <c r="E43" s="1" t="s">
        <v>152</v>
      </c>
      <c r="F43" s="2">
        <v>44091</v>
      </c>
      <c r="G43" s="1" t="s">
        <v>25</v>
      </c>
      <c r="H43" s="1" t="s">
        <v>26</v>
      </c>
      <c r="I43" s="1">
        <f t="shared" ca="1" si="4"/>
        <v>6</v>
      </c>
      <c r="J43" s="1">
        <v>48000</v>
      </c>
      <c r="K43" s="1">
        <v>9600</v>
      </c>
      <c r="L43" s="1">
        <v>4800</v>
      </c>
      <c r="M43" s="1">
        <v>5000</v>
      </c>
      <c r="N43" s="1">
        <v>3000</v>
      </c>
      <c r="O43" s="1">
        <f t="shared" si="1"/>
        <v>70400</v>
      </c>
      <c r="P43" s="1">
        <v>4800</v>
      </c>
      <c r="Q43" s="1">
        <v>3500</v>
      </c>
      <c r="R43" s="1">
        <v>450</v>
      </c>
      <c r="S43" s="1">
        <f t="shared" si="2"/>
        <v>8750</v>
      </c>
      <c r="T43" s="1">
        <f t="shared" si="3"/>
        <v>61650</v>
      </c>
    </row>
    <row r="44" spans="1:20">
      <c r="A44" s="1" t="s">
        <v>153</v>
      </c>
      <c r="B44" s="1" t="s">
        <v>154</v>
      </c>
      <c r="C44" s="1" t="s">
        <v>22</v>
      </c>
      <c r="D44" s="1" t="s">
        <v>35</v>
      </c>
      <c r="E44" s="1" t="s">
        <v>57</v>
      </c>
      <c r="F44" s="2">
        <v>44616</v>
      </c>
      <c r="G44" s="1" t="s">
        <v>25</v>
      </c>
      <c r="H44" s="1" t="s">
        <v>32</v>
      </c>
      <c r="I44" s="1">
        <f t="shared" ca="1" si="4"/>
        <v>4</v>
      </c>
      <c r="J44" s="1">
        <v>50000</v>
      </c>
      <c r="K44" s="1">
        <v>10000</v>
      </c>
      <c r="L44" s="1">
        <v>5000</v>
      </c>
      <c r="M44" s="1">
        <v>5500</v>
      </c>
      <c r="N44" s="1">
        <v>3200</v>
      </c>
      <c r="O44" s="1">
        <f t="shared" si="1"/>
        <v>73700</v>
      </c>
      <c r="P44" s="1">
        <v>5000</v>
      </c>
      <c r="Q44" s="1">
        <v>3900</v>
      </c>
      <c r="R44" s="1">
        <v>450</v>
      </c>
      <c r="S44" s="1">
        <f t="shared" si="2"/>
        <v>9350</v>
      </c>
      <c r="T44" s="1">
        <f t="shared" si="3"/>
        <v>64350</v>
      </c>
    </row>
    <row r="45" spans="1:20">
      <c r="A45" s="1" t="s">
        <v>155</v>
      </c>
      <c r="B45" s="1" t="s">
        <v>156</v>
      </c>
      <c r="C45" s="1" t="s">
        <v>29</v>
      </c>
      <c r="D45" s="1" t="s">
        <v>23</v>
      </c>
      <c r="E45" s="1" t="s">
        <v>60</v>
      </c>
      <c r="F45" s="2">
        <v>45609</v>
      </c>
      <c r="G45" s="1" t="s">
        <v>25</v>
      </c>
      <c r="H45" s="1" t="s">
        <v>26</v>
      </c>
      <c r="I45" s="1">
        <f t="shared" ca="1" si="4"/>
        <v>1</v>
      </c>
      <c r="J45" s="1">
        <v>46000</v>
      </c>
      <c r="K45" s="1">
        <v>9200</v>
      </c>
      <c r="L45" s="1">
        <v>4600</v>
      </c>
      <c r="M45" s="1">
        <v>4500</v>
      </c>
      <c r="N45" s="1">
        <v>2700</v>
      </c>
      <c r="O45" s="1">
        <f t="shared" si="1"/>
        <v>67000</v>
      </c>
      <c r="P45" s="1">
        <v>4600</v>
      </c>
      <c r="Q45" s="1">
        <v>3200</v>
      </c>
      <c r="R45" s="1">
        <v>400</v>
      </c>
      <c r="S45" s="1">
        <f t="shared" si="2"/>
        <v>8200</v>
      </c>
      <c r="T45" s="1">
        <f t="shared" si="3"/>
        <v>58800</v>
      </c>
    </row>
    <row r="46" spans="1:20">
      <c r="A46" s="1" t="s">
        <v>157</v>
      </c>
      <c r="B46" s="1" t="s">
        <v>158</v>
      </c>
      <c r="C46" s="1" t="s">
        <v>22</v>
      </c>
      <c r="D46" s="1" t="s">
        <v>48</v>
      </c>
      <c r="E46" s="1" t="s">
        <v>159</v>
      </c>
      <c r="F46" s="2">
        <v>45113</v>
      </c>
      <c r="G46" s="1" t="s">
        <v>25</v>
      </c>
      <c r="H46" s="1" t="s">
        <v>37</v>
      </c>
      <c r="I46" s="1">
        <f t="shared" ca="1" si="4"/>
        <v>3</v>
      </c>
      <c r="J46" s="1">
        <v>39000</v>
      </c>
      <c r="K46" s="1">
        <v>7800</v>
      </c>
      <c r="L46" s="1">
        <v>3900</v>
      </c>
      <c r="M46" s="1">
        <v>4500</v>
      </c>
      <c r="N46" s="1">
        <v>2500</v>
      </c>
      <c r="O46" s="1">
        <f t="shared" si="1"/>
        <v>57700</v>
      </c>
      <c r="P46" s="1">
        <v>3900</v>
      </c>
      <c r="Q46" s="1">
        <v>2500</v>
      </c>
      <c r="R46" s="1">
        <v>350</v>
      </c>
      <c r="S46" s="1">
        <f t="shared" si="2"/>
        <v>6750</v>
      </c>
      <c r="T46" s="1">
        <f t="shared" si="3"/>
        <v>50950</v>
      </c>
    </row>
    <row r="47" spans="1:20">
      <c r="A47" s="1" t="s">
        <v>160</v>
      </c>
      <c r="B47" s="1" t="s">
        <v>161</v>
      </c>
      <c r="C47" s="1" t="s">
        <v>29</v>
      </c>
      <c r="D47" s="1" t="s">
        <v>53</v>
      </c>
      <c r="E47" s="1" t="s">
        <v>162</v>
      </c>
      <c r="F47" s="2">
        <v>45736</v>
      </c>
      <c r="G47" s="1" t="s">
        <v>25</v>
      </c>
      <c r="H47" s="1" t="s">
        <v>26</v>
      </c>
      <c r="I47" s="1">
        <f t="shared" ca="1" si="4"/>
        <v>1</v>
      </c>
      <c r="J47" s="1">
        <v>30000</v>
      </c>
      <c r="K47" s="1">
        <v>6000</v>
      </c>
      <c r="L47" s="1">
        <v>3000</v>
      </c>
      <c r="M47" s="1">
        <v>2500</v>
      </c>
      <c r="N47" s="1">
        <v>1500</v>
      </c>
      <c r="O47" s="1">
        <f t="shared" si="1"/>
        <v>43000</v>
      </c>
      <c r="P47" s="1">
        <v>3000</v>
      </c>
      <c r="Q47" s="1">
        <v>1500</v>
      </c>
      <c r="R47" s="1">
        <v>250</v>
      </c>
      <c r="S47" s="1">
        <f t="shared" si="2"/>
        <v>4750</v>
      </c>
      <c r="T47" s="1">
        <f t="shared" si="3"/>
        <v>38250</v>
      </c>
    </row>
    <row r="48" spans="1:20">
      <c r="A48" s="1" t="s">
        <v>163</v>
      </c>
      <c r="B48" s="1" t="s">
        <v>164</v>
      </c>
      <c r="C48" s="1" t="s">
        <v>22</v>
      </c>
      <c r="D48" s="1" t="s">
        <v>23</v>
      </c>
      <c r="E48" s="1" t="s">
        <v>165</v>
      </c>
      <c r="F48" s="2">
        <v>44416</v>
      </c>
      <c r="G48" s="1" t="s">
        <v>25</v>
      </c>
      <c r="H48" s="1" t="s">
        <v>32</v>
      </c>
      <c r="I48" s="1">
        <f t="shared" ca="1" si="4"/>
        <v>5</v>
      </c>
      <c r="J48" s="1">
        <v>62000</v>
      </c>
      <c r="K48" s="1">
        <v>12400</v>
      </c>
      <c r="L48" s="1">
        <v>6200</v>
      </c>
      <c r="M48" s="1">
        <v>7000</v>
      </c>
      <c r="N48" s="1">
        <v>4000</v>
      </c>
      <c r="O48" s="1">
        <f t="shared" si="1"/>
        <v>91600</v>
      </c>
      <c r="P48" s="1">
        <v>6200</v>
      </c>
      <c r="Q48" s="1">
        <v>5500</v>
      </c>
      <c r="R48" s="1">
        <v>600</v>
      </c>
      <c r="S48" s="1">
        <f t="shared" si="2"/>
        <v>12300</v>
      </c>
      <c r="T48" s="1">
        <f t="shared" si="3"/>
        <v>79300</v>
      </c>
    </row>
    <row r="49" spans="1:20">
      <c r="A49" s="1" t="s">
        <v>166</v>
      </c>
      <c r="B49" s="1" t="s">
        <v>167</v>
      </c>
      <c r="C49" s="1" t="s">
        <v>29</v>
      </c>
      <c r="D49" s="1" t="s">
        <v>30</v>
      </c>
      <c r="E49" s="1" t="s">
        <v>31</v>
      </c>
      <c r="F49" s="2">
        <v>45228</v>
      </c>
      <c r="G49" s="1" t="s">
        <v>25</v>
      </c>
      <c r="H49" s="1" t="s">
        <v>26</v>
      </c>
      <c r="I49" s="1">
        <f t="shared" ca="1" si="4"/>
        <v>2</v>
      </c>
      <c r="J49" s="1">
        <v>38000</v>
      </c>
      <c r="K49" s="1">
        <v>7600</v>
      </c>
      <c r="L49" s="1">
        <v>3800</v>
      </c>
      <c r="M49" s="1">
        <v>4000</v>
      </c>
      <c r="N49" s="1">
        <v>2300</v>
      </c>
      <c r="O49" s="1">
        <f t="shared" si="1"/>
        <v>55700</v>
      </c>
      <c r="P49" s="1">
        <v>3800</v>
      </c>
      <c r="Q49" s="1">
        <v>2400</v>
      </c>
      <c r="R49" s="1">
        <v>350</v>
      </c>
      <c r="S49" s="1">
        <f t="shared" si="2"/>
        <v>6550</v>
      </c>
      <c r="T49" s="1">
        <f t="shared" si="3"/>
        <v>49150</v>
      </c>
    </row>
    <row r="50" spans="1:20">
      <c r="A50" s="1" t="s">
        <v>168</v>
      </c>
      <c r="B50" s="1" t="s">
        <v>169</v>
      </c>
      <c r="C50" s="1" t="s">
        <v>22</v>
      </c>
      <c r="D50" s="1" t="s">
        <v>35</v>
      </c>
      <c r="E50" s="1" t="s">
        <v>69</v>
      </c>
      <c r="F50" s="2">
        <v>43965</v>
      </c>
      <c r="G50" s="1" t="s">
        <v>25</v>
      </c>
      <c r="H50" s="1" t="s">
        <v>45</v>
      </c>
      <c r="I50" s="1">
        <f t="shared" ca="1" si="4"/>
        <v>6</v>
      </c>
      <c r="J50" s="1">
        <v>55000</v>
      </c>
      <c r="K50" s="1">
        <v>11000</v>
      </c>
      <c r="L50" s="1">
        <v>5500</v>
      </c>
      <c r="M50" s="1">
        <v>6000</v>
      </c>
      <c r="N50" s="1">
        <v>3500</v>
      </c>
      <c r="O50" s="1">
        <f t="shared" si="1"/>
        <v>81000</v>
      </c>
      <c r="P50" s="1">
        <v>5500</v>
      </c>
      <c r="Q50" s="1">
        <v>4500</v>
      </c>
      <c r="R50" s="1">
        <v>500</v>
      </c>
      <c r="S50" s="1">
        <f t="shared" si="2"/>
        <v>10500</v>
      </c>
      <c r="T50" s="1">
        <f t="shared" si="3"/>
        <v>70500</v>
      </c>
    </row>
    <row r="51" spans="1:20">
      <c r="A51" s="1" t="s">
        <v>170</v>
      </c>
      <c r="B51" s="1" t="s">
        <v>171</v>
      </c>
      <c r="C51" s="1" t="s">
        <v>29</v>
      </c>
      <c r="D51" s="1" t="s">
        <v>40</v>
      </c>
      <c r="E51" s="1" t="s">
        <v>41</v>
      </c>
      <c r="F51" s="2">
        <v>46025</v>
      </c>
      <c r="G51" s="1" t="s">
        <v>25</v>
      </c>
      <c r="H51" s="1" t="s">
        <v>26</v>
      </c>
      <c r="I51" s="1">
        <f t="shared" ca="1" si="4"/>
        <v>0</v>
      </c>
      <c r="J51" s="1">
        <v>35000</v>
      </c>
      <c r="K51" s="1">
        <v>7000</v>
      </c>
      <c r="L51" s="1">
        <v>3500</v>
      </c>
      <c r="M51" s="1">
        <v>3500</v>
      </c>
      <c r="N51" s="1">
        <v>2000</v>
      </c>
      <c r="O51" s="1">
        <f t="shared" si="1"/>
        <v>51000</v>
      </c>
      <c r="P51" s="1">
        <v>3500</v>
      </c>
      <c r="Q51" s="1">
        <v>2000</v>
      </c>
      <c r="R51" s="1">
        <v>300</v>
      </c>
      <c r="S51" s="1">
        <f t="shared" si="2"/>
        <v>5800</v>
      </c>
      <c r="T51" s="1">
        <f t="shared" si="3"/>
        <v>45200</v>
      </c>
    </row>
    <row r="52" spans="1:20">
      <c r="A52" s="1" t="s">
        <v>172</v>
      </c>
      <c r="B52" s="1" t="s">
        <v>173</v>
      </c>
      <c r="C52" s="1" t="s">
        <v>22</v>
      </c>
      <c r="D52" s="1" t="s">
        <v>23</v>
      </c>
      <c r="E52" s="1" t="s">
        <v>24</v>
      </c>
      <c r="F52" s="2">
        <v>44673</v>
      </c>
      <c r="G52" s="1" t="s">
        <v>25</v>
      </c>
      <c r="H52" s="1" t="s">
        <v>32</v>
      </c>
      <c r="I52" s="1">
        <f t="shared" ca="1" si="4"/>
        <v>4</v>
      </c>
      <c r="J52" s="1">
        <v>49000</v>
      </c>
      <c r="K52" s="1">
        <v>9800</v>
      </c>
      <c r="L52" s="1">
        <v>4900</v>
      </c>
      <c r="M52" s="1">
        <v>5000</v>
      </c>
      <c r="N52" s="1">
        <v>3000</v>
      </c>
      <c r="O52" s="1">
        <f t="shared" si="1"/>
        <v>71700</v>
      </c>
      <c r="P52" s="1">
        <v>4900</v>
      </c>
      <c r="Q52" s="1">
        <v>3800</v>
      </c>
      <c r="R52" s="1">
        <v>450</v>
      </c>
      <c r="S52" s="1">
        <f t="shared" si="2"/>
        <v>9150</v>
      </c>
      <c r="T52" s="1">
        <f t="shared" si="3"/>
        <v>62550</v>
      </c>
    </row>
    <row r="53" spans="1:20">
      <c r="A53" s="1" t="s">
        <v>174</v>
      </c>
      <c r="B53" s="1" t="s">
        <v>175</v>
      </c>
      <c r="C53" s="1" t="s">
        <v>29</v>
      </c>
      <c r="D53" s="1" t="s">
        <v>48</v>
      </c>
      <c r="E53" s="1" t="s">
        <v>49</v>
      </c>
      <c r="F53" s="2">
        <v>45454</v>
      </c>
      <c r="G53" s="1" t="s">
        <v>25</v>
      </c>
      <c r="H53" s="1" t="s">
        <v>26</v>
      </c>
      <c r="I53" s="1">
        <f t="shared" ca="1" si="4"/>
        <v>2</v>
      </c>
      <c r="J53" s="1">
        <v>33000</v>
      </c>
      <c r="K53" s="1">
        <v>6600</v>
      </c>
      <c r="L53" s="1">
        <v>3300</v>
      </c>
      <c r="M53" s="1">
        <v>3000</v>
      </c>
      <c r="N53" s="1">
        <v>1800</v>
      </c>
      <c r="O53" s="1">
        <f t="shared" si="1"/>
        <v>47700</v>
      </c>
      <c r="P53" s="1">
        <v>3300</v>
      </c>
      <c r="Q53" s="1">
        <v>1800</v>
      </c>
      <c r="R53" s="1">
        <v>300</v>
      </c>
      <c r="S53" s="1">
        <f t="shared" si="2"/>
        <v>5400</v>
      </c>
      <c r="T53" s="1">
        <f t="shared" si="3"/>
        <v>42300</v>
      </c>
    </row>
    <row r="54" spans="1:20">
      <c r="A54" s="1" t="s">
        <v>176</v>
      </c>
      <c r="B54" s="1" t="s">
        <v>177</v>
      </c>
      <c r="C54" s="1" t="s">
        <v>22</v>
      </c>
      <c r="D54" s="1" t="s">
        <v>53</v>
      </c>
      <c r="E54" s="1" t="s">
        <v>54</v>
      </c>
      <c r="F54" s="2">
        <v>44466</v>
      </c>
      <c r="G54" s="1" t="s">
        <v>25</v>
      </c>
      <c r="H54" s="1" t="s">
        <v>37</v>
      </c>
      <c r="I54" s="1">
        <f t="shared" ca="1" si="4"/>
        <v>5</v>
      </c>
      <c r="J54" s="1">
        <v>39000</v>
      </c>
      <c r="K54" s="1">
        <v>7800</v>
      </c>
      <c r="L54" s="1">
        <v>3900</v>
      </c>
      <c r="M54" s="1">
        <v>4000</v>
      </c>
      <c r="N54" s="1">
        <v>2300</v>
      </c>
      <c r="O54" s="1">
        <f t="shared" si="1"/>
        <v>57000</v>
      </c>
      <c r="P54" s="1">
        <v>3900</v>
      </c>
      <c r="Q54" s="1">
        <v>2500</v>
      </c>
      <c r="R54" s="1">
        <v>350</v>
      </c>
      <c r="S54" s="1">
        <f t="shared" si="2"/>
        <v>6750</v>
      </c>
      <c r="T54" s="1">
        <f t="shared" si="3"/>
        <v>50250</v>
      </c>
    </row>
    <row r="55" spans="1:20">
      <c r="A55" s="1" t="s">
        <v>178</v>
      </c>
      <c r="B55" s="1" t="s">
        <v>179</v>
      </c>
      <c r="C55" s="1" t="s">
        <v>29</v>
      </c>
      <c r="D55" s="1" t="s">
        <v>35</v>
      </c>
      <c r="E55" s="1" t="s">
        <v>36</v>
      </c>
      <c r="F55" s="2">
        <v>45703</v>
      </c>
      <c r="G55" s="1" t="s">
        <v>25</v>
      </c>
      <c r="H55" s="1" t="s">
        <v>26</v>
      </c>
      <c r="I55" s="1">
        <f t="shared" ca="1" si="4"/>
        <v>1</v>
      </c>
      <c r="J55" s="1">
        <v>42000</v>
      </c>
      <c r="K55" s="1">
        <v>8400</v>
      </c>
      <c r="L55" s="1">
        <v>4200</v>
      </c>
      <c r="M55" s="1">
        <v>4500</v>
      </c>
      <c r="N55" s="1">
        <v>2700</v>
      </c>
      <c r="O55" s="1">
        <f t="shared" si="1"/>
        <v>61800</v>
      </c>
      <c r="P55" s="1">
        <v>4200</v>
      </c>
      <c r="Q55" s="1">
        <v>2900</v>
      </c>
      <c r="R55" s="1">
        <v>400</v>
      </c>
      <c r="S55" s="1">
        <f t="shared" si="2"/>
        <v>7500</v>
      </c>
      <c r="T55" s="1">
        <f t="shared" si="3"/>
        <v>54300</v>
      </c>
    </row>
    <row r="56" spans="1:20">
      <c r="A56" s="1" t="s">
        <v>180</v>
      </c>
      <c r="B56" s="1" t="s">
        <v>181</v>
      </c>
      <c r="C56" s="1" t="s">
        <v>22</v>
      </c>
      <c r="D56" s="1" t="s">
        <v>23</v>
      </c>
      <c r="E56" s="1" t="s">
        <v>182</v>
      </c>
      <c r="F56" s="2">
        <v>44021</v>
      </c>
      <c r="G56" s="1" t="s">
        <v>25</v>
      </c>
      <c r="H56" s="1" t="s">
        <v>32</v>
      </c>
      <c r="I56" s="1">
        <f t="shared" ca="1" si="4"/>
        <v>6</v>
      </c>
      <c r="J56" s="1">
        <v>54000</v>
      </c>
      <c r="K56" s="1">
        <v>10800</v>
      </c>
      <c r="L56" s="1">
        <v>5400</v>
      </c>
      <c r="M56" s="1">
        <v>6000</v>
      </c>
      <c r="N56" s="1">
        <v>3500</v>
      </c>
      <c r="O56" s="1">
        <f t="shared" si="1"/>
        <v>79700</v>
      </c>
      <c r="P56" s="1">
        <v>5400</v>
      </c>
      <c r="Q56" s="1">
        <v>4300</v>
      </c>
      <c r="R56" s="1">
        <v>500</v>
      </c>
      <c r="S56" s="1">
        <f t="shared" si="2"/>
        <v>10200</v>
      </c>
      <c r="T56" s="1">
        <f t="shared" si="3"/>
        <v>69500</v>
      </c>
    </row>
    <row r="57" spans="1:20">
      <c r="A57" s="1" t="s">
        <v>183</v>
      </c>
      <c r="B57" s="1" t="s">
        <v>184</v>
      </c>
      <c r="C57" s="1" t="s">
        <v>29</v>
      </c>
      <c r="D57" s="1" t="s">
        <v>30</v>
      </c>
      <c r="E57" s="1" t="s">
        <v>63</v>
      </c>
      <c r="F57" s="2">
        <v>44883</v>
      </c>
      <c r="G57" s="1" t="s">
        <v>25</v>
      </c>
      <c r="H57" s="1" t="s">
        <v>26</v>
      </c>
      <c r="I57" s="1">
        <f t="shared" ca="1" si="4"/>
        <v>3</v>
      </c>
      <c r="J57" s="1">
        <v>36000</v>
      </c>
      <c r="K57" s="1">
        <v>7200</v>
      </c>
      <c r="L57" s="1">
        <v>3600</v>
      </c>
      <c r="M57" s="1">
        <v>3500</v>
      </c>
      <c r="N57" s="1">
        <v>2000</v>
      </c>
      <c r="O57" s="1">
        <f t="shared" si="1"/>
        <v>52300</v>
      </c>
      <c r="P57" s="1">
        <v>3600</v>
      </c>
      <c r="Q57" s="1">
        <v>2100</v>
      </c>
      <c r="R57" s="1">
        <v>300</v>
      </c>
      <c r="S57" s="1">
        <f t="shared" si="2"/>
        <v>6000</v>
      </c>
      <c r="T57" s="1">
        <f t="shared" si="3"/>
        <v>46300</v>
      </c>
    </row>
    <row r="58" spans="1:20">
      <c r="A58" s="1" t="s">
        <v>185</v>
      </c>
      <c r="B58" s="1" t="s">
        <v>186</v>
      </c>
      <c r="C58" s="1" t="s">
        <v>22</v>
      </c>
      <c r="D58" s="1" t="s">
        <v>48</v>
      </c>
      <c r="E58" s="1" t="s">
        <v>72</v>
      </c>
      <c r="F58" s="2">
        <v>43528</v>
      </c>
      <c r="G58" s="1" t="s">
        <v>25</v>
      </c>
      <c r="H58" s="1" t="s">
        <v>45</v>
      </c>
      <c r="I58" s="1">
        <f t="shared" ca="1" si="4"/>
        <v>7</v>
      </c>
      <c r="J58" s="1">
        <v>61000</v>
      </c>
      <c r="K58" s="1">
        <v>12200</v>
      </c>
      <c r="L58" s="1">
        <v>6100</v>
      </c>
      <c r="M58" s="1">
        <v>7000</v>
      </c>
      <c r="N58" s="1">
        <v>4000</v>
      </c>
      <c r="O58" s="1">
        <f t="shared" si="1"/>
        <v>90300</v>
      </c>
      <c r="P58" s="1">
        <v>6100</v>
      </c>
      <c r="Q58" s="1">
        <v>5200</v>
      </c>
      <c r="R58" s="1">
        <v>600</v>
      </c>
      <c r="S58" s="1">
        <f t="shared" si="2"/>
        <v>11900</v>
      </c>
      <c r="T58" s="1">
        <f t="shared" si="3"/>
        <v>78400</v>
      </c>
    </row>
    <row r="59" spans="1:20">
      <c r="A59" s="1" t="s">
        <v>187</v>
      </c>
      <c r="B59" s="1" t="s">
        <v>188</v>
      </c>
      <c r="C59" s="1" t="s">
        <v>29</v>
      </c>
      <c r="D59" s="1" t="s">
        <v>40</v>
      </c>
      <c r="E59" s="1" t="s">
        <v>189</v>
      </c>
      <c r="F59" s="2">
        <v>45892</v>
      </c>
      <c r="G59" s="1" t="s">
        <v>25</v>
      </c>
      <c r="H59" s="1" t="s">
        <v>26</v>
      </c>
      <c r="I59" s="1">
        <f t="shared" ca="1" si="4"/>
        <v>1</v>
      </c>
      <c r="J59" s="1">
        <v>37000</v>
      </c>
      <c r="K59" s="1">
        <v>7400</v>
      </c>
      <c r="L59" s="1">
        <v>3700</v>
      </c>
      <c r="M59" s="1">
        <v>3500</v>
      </c>
      <c r="N59" s="1">
        <v>2200</v>
      </c>
      <c r="O59" s="1">
        <f t="shared" si="1"/>
        <v>53800</v>
      </c>
      <c r="P59" s="1">
        <v>3700</v>
      </c>
      <c r="Q59" s="1">
        <v>2200</v>
      </c>
      <c r="R59" s="1">
        <v>350</v>
      </c>
      <c r="S59" s="1">
        <f t="shared" si="2"/>
        <v>6250</v>
      </c>
      <c r="T59" s="1">
        <f t="shared" si="3"/>
        <v>47550</v>
      </c>
    </row>
    <row r="60" spans="1:20">
      <c r="A60" s="1" t="s">
        <v>190</v>
      </c>
      <c r="B60" s="1" t="s">
        <v>191</v>
      </c>
      <c r="C60" s="1" t="s">
        <v>22</v>
      </c>
      <c r="D60" s="1" t="s">
        <v>35</v>
      </c>
      <c r="E60" s="1" t="s">
        <v>110</v>
      </c>
      <c r="F60" s="2">
        <v>45276</v>
      </c>
      <c r="G60" s="1" t="s">
        <v>25</v>
      </c>
      <c r="H60" s="1" t="s">
        <v>32</v>
      </c>
      <c r="I60" s="1">
        <f t="shared" ca="1" si="4"/>
        <v>2</v>
      </c>
      <c r="J60" s="1">
        <v>43000</v>
      </c>
      <c r="K60" s="1">
        <v>8600</v>
      </c>
      <c r="L60" s="1">
        <v>4300</v>
      </c>
      <c r="M60" s="1">
        <v>4500</v>
      </c>
      <c r="N60" s="1">
        <v>2700</v>
      </c>
      <c r="O60" s="1">
        <f t="shared" si="1"/>
        <v>63100</v>
      </c>
      <c r="P60" s="1">
        <v>4300</v>
      </c>
      <c r="Q60" s="1">
        <v>3000</v>
      </c>
      <c r="R60" s="1">
        <v>400</v>
      </c>
      <c r="S60" s="1">
        <f t="shared" si="2"/>
        <v>7700</v>
      </c>
      <c r="T60" s="1">
        <f t="shared" si="3"/>
        <v>55400</v>
      </c>
    </row>
    <row r="61" spans="1:20">
      <c r="A61" s="1" t="s">
        <v>192</v>
      </c>
      <c r="B61" s="1" t="s">
        <v>193</v>
      </c>
      <c r="C61" s="1" t="s">
        <v>29</v>
      </c>
      <c r="D61" s="1" t="s">
        <v>23</v>
      </c>
      <c r="E61" s="1" t="s">
        <v>194</v>
      </c>
      <c r="F61" s="2">
        <v>45419</v>
      </c>
      <c r="G61" s="1" t="s">
        <v>25</v>
      </c>
      <c r="H61" s="1" t="s">
        <v>26</v>
      </c>
      <c r="I61" s="1">
        <f t="shared" ca="1" si="4"/>
        <v>2</v>
      </c>
      <c r="J61" s="1">
        <v>44000</v>
      </c>
      <c r="K61" s="1">
        <v>8800</v>
      </c>
      <c r="L61" s="1">
        <v>4400</v>
      </c>
      <c r="M61" s="1">
        <v>4500</v>
      </c>
      <c r="N61" s="1">
        <v>2700</v>
      </c>
      <c r="O61" s="1">
        <f t="shared" si="1"/>
        <v>64400</v>
      </c>
      <c r="P61" s="1">
        <v>4400</v>
      </c>
      <c r="Q61" s="1">
        <v>3100</v>
      </c>
      <c r="R61" s="1">
        <v>400</v>
      </c>
      <c r="S61" s="1">
        <f t="shared" si="2"/>
        <v>7900</v>
      </c>
      <c r="T61" s="1">
        <f t="shared" si="3"/>
        <v>56500</v>
      </c>
    </row>
    <row r="62" spans="1:20">
      <c r="A62" s="1" t="s">
        <v>195</v>
      </c>
      <c r="B62" s="1" t="s">
        <v>196</v>
      </c>
      <c r="C62" s="1" t="s">
        <v>22</v>
      </c>
      <c r="D62" s="1" t="s">
        <v>53</v>
      </c>
      <c r="E62" s="1" t="s">
        <v>197</v>
      </c>
      <c r="F62" s="2">
        <v>44221</v>
      </c>
      <c r="G62" s="1" t="s">
        <v>25</v>
      </c>
      <c r="H62" s="1" t="s">
        <v>37</v>
      </c>
      <c r="I62" s="1">
        <f t="shared" ca="1" si="4"/>
        <v>5</v>
      </c>
      <c r="J62" s="1">
        <v>31000</v>
      </c>
      <c r="K62" s="1">
        <v>6200</v>
      </c>
      <c r="L62" s="1">
        <v>3100</v>
      </c>
      <c r="M62" s="1">
        <v>2500</v>
      </c>
      <c r="N62" s="1">
        <v>1500</v>
      </c>
      <c r="O62" s="1">
        <f t="shared" si="1"/>
        <v>44300</v>
      </c>
      <c r="P62" s="1">
        <v>3100</v>
      </c>
      <c r="Q62" s="1">
        <v>1500</v>
      </c>
      <c r="R62" s="1">
        <v>250</v>
      </c>
      <c r="S62" s="1">
        <f t="shared" si="2"/>
        <v>4850</v>
      </c>
      <c r="T62" s="1">
        <f t="shared" si="3"/>
        <v>39450</v>
      </c>
    </row>
    <row r="63" spans="1:20">
      <c r="A63" s="1" t="s">
        <v>198</v>
      </c>
      <c r="B63" s="1" t="s">
        <v>199</v>
      </c>
      <c r="C63" s="1" t="s">
        <v>29</v>
      </c>
      <c r="D63" s="1" t="s">
        <v>48</v>
      </c>
      <c r="E63" s="1" t="s">
        <v>119</v>
      </c>
      <c r="F63" s="2">
        <v>44846</v>
      </c>
      <c r="G63" s="1" t="s">
        <v>25</v>
      </c>
      <c r="H63" s="1" t="s">
        <v>26</v>
      </c>
      <c r="I63" s="1">
        <f t="shared" ca="1" si="4"/>
        <v>3</v>
      </c>
      <c r="J63" s="1">
        <v>35000</v>
      </c>
      <c r="K63" s="1">
        <v>7000</v>
      </c>
      <c r="L63" s="1">
        <v>3500</v>
      </c>
      <c r="M63" s="1">
        <v>3500</v>
      </c>
      <c r="N63" s="1">
        <v>2000</v>
      </c>
      <c r="O63" s="1">
        <f t="shared" si="1"/>
        <v>51000</v>
      </c>
      <c r="P63" s="1">
        <v>3500</v>
      </c>
      <c r="Q63" s="1">
        <v>2000</v>
      </c>
      <c r="R63" s="1">
        <v>300</v>
      </c>
      <c r="S63" s="1">
        <f t="shared" si="2"/>
        <v>5800</v>
      </c>
      <c r="T63" s="1">
        <f t="shared" si="3"/>
        <v>45200</v>
      </c>
    </row>
    <row r="64" spans="1:20">
      <c r="A64" s="1" t="s">
        <v>200</v>
      </c>
      <c r="B64" s="1" t="s">
        <v>201</v>
      </c>
      <c r="C64" s="1" t="s">
        <v>22</v>
      </c>
      <c r="D64" s="1" t="s">
        <v>23</v>
      </c>
      <c r="E64" s="1" t="s">
        <v>202</v>
      </c>
      <c r="F64" s="2">
        <v>44012</v>
      </c>
      <c r="G64" s="1" t="s">
        <v>25</v>
      </c>
      <c r="H64" s="1" t="s">
        <v>32</v>
      </c>
      <c r="I64" s="1">
        <f t="shared" ca="1" si="4"/>
        <v>6</v>
      </c>
      <c r="J64" s="1">
        <v>60000</v>
      </c>
      <c r="K64" s="1">
        <v>12000</v>
      </c>
      <c r="L64" s="1">
        <v>6000</v>
      </c>
      <c r="M64" s="1">
        <v>6500</v>
      </c>
      <c r="N64" s="1">
        <v>4000</v>
      </c>
      <c r="O64" s="1">
        <f t="shared" si="1"/>
        <v>88500</v>
      </c>
      <c r="P64" s="1">
        <v>6000</v>
      </c>
      <c r="Q64" s="1">
        <v>5000</v>
      </c>
      <c r="R64" s="1">
        <v>550</v>
      </c>
      <c r="S64" s="1">
        <f t="shared" si="2"/>
        <v>11550</v>
      </c>
      <c r="T64" s="1">
        <f t="shared" si="3"/>
        <v>76950</v>
      </c>
    </row>
    <row r="65" spans="1:20">
      <c r="A65" s="1" t="s">
        <v>203</v>
      </c>
      <c r="B65" s="1" t="s">
        <v>204</v>
      </c>
      <c r="C65" s="1" t="s">
        <v>29</v>
      </c>
      <c r="D65" s="1" t="s">
        <v>30</v>
      </c>
      <c r="E65" s="1" t="s">
        <v>81</v>
      </c>
      <c r="F65" s="2">
        <v>44246</v>
      </c>
      <c r="G65" s="1" t="s">
        <v>25</v>
      </c>
      <c r="H65" s="1" t="s">
        <v>26</v>
      </c>
      <c r="I65" s="1">
        <f t="shared" ca="1" si="4"/>
        <v>5</v>
      </c>
      <c r="J65" s="1">
        <v>59000</v>
      </c>
      <c r="K65" s="1">
        <v>11800</v>
      </c>
      <c r="L65" s="1">
        <v>5900</v>
      </c>
      <c r="M65" s="1">
        <v>6500</v>
      </c>
      <c r="N65" s="1">
        <v>3500</v>
      </c>
      <c r="O65" s="1">
        <f t="shared" si="1"/>
        <v>86700</v>
      </c>
      <c r="P65" s="1">
        <v>5900</v>
      </c>
      <c r="Q65" s="1">
        <v>4800</v>
      </c>
      <c r="R65" s="1">
        <v>500</v>
      </c>
      <c r="S65" s="1">
        <f t="shared" si="2"/>
        <v>11200</v>
      </c>
      <c r="T65" s="1">
        <f t="shared" si="3"/>
        <v>75500</v>
      </c>
    </row>
    <row r="66" spans="1:20">
      <c r="A66" s="1" t="s">
        <v>205</v>
      </c>
      <c r="B66" s="1" t="s">
        <v>206</v>
      </c>
      <c r="C66" s="1" t="s">
        <v>22</v>
      </c>
      <c r="D66" s="1" t="s">
        <v>35</v>
      </c>
      <c r="E66" s="1" t="s">
        <v>128</v>
      </c>
      <c r="F66" s="2">
        <v>43714</v>
      </c>
      <c r="G66" s="1" t="s">
        <v>25</v>
      </c>
      <c r="H66" s="1" t="s">
        <v>45</v>
      </c>
      <c r="I66" s="1">
        <f t="shared" ref="I66:I101" ca="1" si="5">DATEDIF(F66,TODAY(),"Y")</f>
        <v>7</v>
      </c>
      <c r="J66" s="1">
        <v>67000</v>
      </c>
      <c r="K66" s="1">
        <v>13400</v>
      </c>
      <c r="L66" s="1">
        <v>6700</v>
      </c>
      <c r="M66" s="1">
        <v>7500</v>
      </c>
      <c r="N66" s="1">
        <v>4000</v>
      </c>
      <c r="O66" s="1">
        <f t="shared" ref="O66:O101" si="6">SUM(J66:N66)</f>
        <v>98600</v>
      </c>
      <c r="P66" s="1">
        <v>6700</v>
      </c>
      <c r="Q66" s="1">
        <v>6100</v>
      </c>
      <c r="R66" s="1">
        <v>650</v>
      </c>
      <c r="S66" s="1">
        <f t="shared" ref="S66:S101" si="7">SUM(P66:R66)</f>
        <v>13450</v>
      </c>
      <c r="T66" s="1">
        <f t="shared" ref="T66:T101" si="8">O66-S66</f>
        <v>85150</v>
      </c>
    </row>
    <row r="67" spans="1:20">
      <c r="A67" s="1" t="s">
        <v>207</v>
      </c>
      <c r="B67" s="1" t="s">
        <v>208</v>
      </c>
      <c r="C67" s="1" t="s">
        <v>29</v>
      </c>
      <c r="D67" s="1" t="s">
        <v>40</v>
      </c>
      <c r="E67" s="1" t="s">
        <v>41</v>
      </c>
      <c r="F67" s="2">
        <v>45044</v>
      </c>
      <c r="G67" s="1" t="s">
        <v>25</v>
      </c>
      <c r="H67" s="1" t="s">
        <v>26</v>
      </c>
      <c r="I67" s="1">
        <f t="shared" ca="1" si="5"/>
        <v>3</v>
      </c>
      <c r="J67" s="1">
        <v>38000</v>
      </c>
      <c r="K67" s="1">
        <v>7600</v>
      </c>
      <c r="L67" s="1">
        <v>3800</v>
      </c>
      <c r="M67" s="1">
        <v>4000</v>
      </c>
      <c r="N67" s="1">
        <v>2300</v>
      </c>
      <c r="O67" s="1">
        <f t="shared" si="6"/>
        <v>55700</v>
      </c>
      <c r="P67" s="1">
        <v>3800</v>
      </c>
      <c r="Q67" s="1">
        <v>2400</v>
      </c>
      <c r="R67" s="1">
        <v>350</v>
      </c>
      <c r="S67" s="1">
        <f t="shared" si="7"/>
        <v>6550</v>
      </c>
      <c r="T67" s="1">
        <f t="shared" si="8"/>
        <v>49150</v>
      </c>
    </row>
    <row r="68" spans="1:20">
      <c r="A68" s="1" t="s">
        <v>209</v>
      </c>
      <c r="B68" s="1" t="s">
        <v>210</v>
      </c>
      <c r="C68" s="1" t="s">
        <v>22</v>
      </c>
      <c r="D68" s="1" t="s">
        <v>23</v>
      </c>
      <c r="E68" s="1" t="s">
        <v>211</v>
      </c>
      <c r="F68" s="2">
        <v>44759</v>
      </c>
      <c r="G68" s="1" t="s">
        <v>25</v>
      </c>
      <c r="H68" s="1" t="s">
        <v>32</v>
      </c>
      <c r="I68" s="1">
        <f t="shared" ca="1" si="5"/>
        <v>4</v>
      </c>
      <c r="J68" s="1">
        <v>65000</v>
      </c>
      <c r="K68" s="1">
        <v>13000</v>
      </c>
      <c r="L68" s="1">
        <v>6500</v>
      </c>
      <c r="M68" s="1">
        <v>7000</v>
      </c>
      <c r="N68" s="1">
        <v>4000</v>
      </c>
      <c r="O68" s="1">
        <f t="shared" si="6"/>
        <v>95500</v>
      </c>
      <c r="P68" s="1">
        <v>6500</v>
      </c>
      <c r="Q68" s="1">
        <v>5600</v>
      </c>
      <c r="R68" s="1">
        <v>600</v>
      </c>
      <c r="S68" s="1">
        <f t="shared" si="7"/>
        <v>12700</v>
      </c>
      <c r="T68" s="1">
        <f t="shared" si="8"/>
        <v>82800</v>
      </c>
    </row>
    <row r="69" spans="1:20">
      <c r="A69" s="1" t="s">
        <v>212</v>
      </c>
      <c r="B69" s="1" t="s">
        <v>213</v>
      </c>
      <c r="C69" s="1" t="s">
        <v>29</v>
      </c>
      <c r="D69" s="1" t="s">
        <v>48</v>
      </c>
      <c r="E69" s="1" t="s">
        <v>49</v>
      </c>
      <c r="F69" s="2">
        <v>45964</v>
      </c>
      <c r="G69" s="1" t="s">
        <v>25</v>
      </c>
      <c r="H69" s="1" t="s">
        <v>26</v>
      </c>
      <c r="I69" s="1">
        <f t="shared" ca="1" si="5"/>
        <v>0</v>
      </c>
      <c r="J69" s="1">
        <v>33000</v>
      </c>
      <c r="K69" s="1">
        <v>6600</v>
      </c>
      <c r="L69" s="1">
        <v>3300</v>
      </c>
      <c r="M69" s="1">
        <v>3000</v>
      </c>
      <c r="N69" s="1">
        <v>1800</v>
      </c>
      <c r="O69" s="1">
        <f t="shared" si="6"/>
        <v>47700</v>
      </c>
      <c r="P69" s="1">
        <v>3300</v>
      </c>
      <c r="Q69" s="1">
        <v>1800</v>
      </c>
      <c r="R69" s="1">
        <v>300</v>
      </c>
      <c r="S69" s="1">
        <f t="shared" si="7"/>
        <v>5400</v>
      </c>
      <c r="T69" s="1">
        <f t="shared" si="8"/>
        <v>42300</v>
      </c>
    </row>
    <row r="70" spans="1:20">
      <c r="A70" s="1" t="s">
        <v>214</v>
      </c>
      <c r="B70" s="1" t="s">
        <v>215</v>
      </c>
      <c r="C70" s="1" t="s">
        <v>22</v>
      </c>
      <c r="D70" s="1" t="s">
        <v>53</v>
      </c>
      <c r="E70" s="1" t="s">
        <v>216</v>
      </c>
      <c r="F70" s="2">
        <v>43904</v>
      </c>
      <c r="G70" s="1" t="s">
        <v>25</v>
      </c>
      <c r="H70" s="1" t="s">
        <v>37</v>
      </c>
      <c r="I70" s="1">
        <f t="shared" ca="1" si="5"/>
        <v>6</v>
      </c>
      <c r="J70" s="1">
        <v>56000</v>
      </c>
      <c r="K70" s="1">
        <v>11200</v>
      </c>
      <c r="L70" s="1">
        <v>5600</v>
      </c>
      <c r="M70" s="1">
        <v>6000</v>
      </c>
      <c r="N70" s="1">
        <v>3500</v>
      </c>
      <c r="O70" s="1">
        <f t="shared" si="6"/>
        <v>82300</v>
      </c>
      <c r="P70" s="1">
        <v>5600</v>
      </c>
      <c r="Q70" s="1">
        <v>4400</v>
      </c>
      <c r="R70" s="1">
        <v>500</v>
      </c>
      <c r="S70" s="1">
        <f t="shared" si="7"/>
        <v>10500</v>
      </c>
      <c r="T70" s="1">
        <f t="shared" si="8"/>
        <v>71800</v>
      </c>
    </row>
    <row r="71" spans="1:20">
      <c r="A71" s="1" t="s">
        <v>217</v>
      </c>
      <c r="B71" s="1" t="s">
        <v>218</v>
      </c>
      <c r="C71" s="1" t="s">
        <v>29</v>
      </c>
      <c r="D71" s="1" t="s">
        <v>35</v>
      </c>
      <c r="E71" s="1" t="s">
        <v>36</v>
      </c>
      <c r="F71" s="2">
        <v>45525</v>
      </c>
      <c r="G71" s="1" t="s">
        <v>25</v>
      </c>
      <c r="H71" s="1" t="s">
        <v>26</v>
      </c>
      <c r="I71" s="1">
        <f t="shared" ca="1" si="5"/>
        <v>2</v>
      </c>
      <c r="J71" s="1">
        <v>41000</v>
      </c>
      <c r="K71" s="1">
        <v>8200</v>
      </c>
      <c r="L71" s="1">
        <v>4100</v>
      </c>
      <c r="M71" s="1">
        <v>4000</v>
      </c>
      <c r="N71" s="1">
        <v>2500</v>
      </c>
      <c r="O71" s="1">
        <f t="shared" si="6"/>
        <v>59800</v>
      </c>
      <c r="P71" s="1">
        <v>4100</v>
      </c>
      <c r="Q71" s="1">
        <v>2700</v>
      </c>
      <c r="R71" s="1">
        <v>350</v>
      </c>
      <c r="S71" s="1">
        <f t="shared" si="7"/>
        <v>7150</v>
      </c>
      <c r="T71" s="1">
        <f t="shared" si="8"/>
        <v>52650</v>
      </c>
    </row>
    <row r="72" spans="1:20">
      <c r="A72" s="1" t="s">
        <v>219</v>
      </c>
      <c r="B72" s="1" t="s">
        <v>220</v>
      </c>
      <c r="C72" s="1" t="s">
        <v>22</v>
      </c>
      <c r="D72" s="1" t="s">
        <v>23</v>
      </c>
      <c r="E72" s="1" t="s">
        <v>221</v>
      </c>
      <c r="F72" s="2">
        <v>43443</v>
      </c>
      <c r="G72" s="1" t="s">
        <v>25</v>
      </c>
      <c r="H72" s="1" t="s">
        <v>32</v>
      </c>
      <c r="I72" s="1">
        <f t="shared" ca="1" si="5"/>
        <v>7</v>
      </c>
      <c r="J72" s="1">
        <v>72000</v>
      </c>
      <c r="K72" s="1">
        <v>14400</v>
      </c>
      <c r="L72" s="1">
        <v>7200</v>
      </c>
      <c r="M72" s="1">
        <v>8000</v>
      </c>
      <c r="N72" s="1">
        <v>4500</v>
      </c>
      <c r="O72" s="1">
        <f t="shared" si="6"/>
        <v>106100</v>
      </c>
      <c r="P72" s="1">
        <v>7200</v>
      </c>
      <c r="Q72" s="1">
        <v>6800</v>
      </c>
      <c r="R72" s="1">
        <v>700</v>
      </c>
      <c r="S72" s="1">
        <f t="shared" si="7"/>
        <v>14700</v>
      </c>
      <c r="T72" s="1">
        <f t="shared" si="8"/>
        <v>91400</v>
      </c>
    </row>
    <row r="73" spans="1:20">
      <c r="A73" s="1" t="s">
        <v>222</v>
      </c>
      <c r="B73" s="1" t="s">
        <v>223</v>
      </c>
      <c r="C73" s="1" t="s">
        <v>29</v>
      </c>
      <c r="D73" s="1" t="s">
        <v>30</v>
      </c>
      <c r="E73" s="1" t="s">
        <v>31</v>
      </c>
      <c r="F73" s="2">
        <v>45803</v>
      </c>
      <c r="G73" s="1" t="s">
        <v>25</v>
      </c>
      <c r="H73" s="1" t="s">
        <v>26</v>
      </c>
      <c r="I73" s="1">
        <f t="shared" ca="1" si="5"/>
        <v>1</v>
      </c>
      <c r="J73" s="1">
        <v>35000</v>
      </c>
      <c r="K73" s="1">
        <v>7000</v>
      </c>
      <c r="L73" s="1">
        <v>3500</v>
      </c>
      <c r="M73" s="1">
        <v>3000</v>
      </c>
      <c r="N73" s="1">
        <v>1800</v>
      </c>
      <c r="O73" s="1">
        <f t="shared" si="6"/>
        <v>50300</v>
      </c>
      <c r="P73" s="1">
        <v>3500</v>
      </c>
      <c r="Q73" s="1">
        <v>1900</v>
      </c>
      <c r="R73" s="1">
        <v>300</v>
      </c>
      <c r="S73" s="1">
        <f t="shared" si="7"/>
        <v>5700</v>
      </c>
      <c r="T73" s="1">
        <f t="shared" si="8"/>
        <v>44600</v>
      </c>
    </row>
    <row r="74" spans="1:20">
      <c r="A74" s="1" t="s">
        <v>224</v>
      </c>
      <c r="B74" s="1" t="s">
        <v>225</v>
      </c>
      <c r="C74" s="1" t="s">
        <v>22</v>
      </c>
      <c r="D74" s="1" t="s">
        <v>48</v>
      </c>
      <c r="E74" s="1" t="s">
        <v>226</v>
      </c>
      <c r="F74" s="2">
        <v>44214</v>
      </c>
      <c r="G74" s="1" t="s">
        <v>25</v>
      </c>
      <c r="H74" s="1" t="s">
        <v>45</v>
      </c>
      <c r="I74" s="1">
        <f t="shared" ca="1" si="5"/>
        <v>5</v>
      </c>
      <c r="J74" s="1">
        <v>62000</v>
      </c>
      <c r="K74" s="1">
        <v>12400</v>
      </c>
      <c r="L74" s="1">
        <v>6200</v>
      </c>
      <c r="M74" s="1">
        <v>7000</v>
      </c>
      <c r="N74" s="1">
        <v>4000</v>
      </c>
      <c r="O74" s="1">
        <f t="shared" si="6"/>
        <v>91600</v>
      </c>
      <c r="P74" s="1">
        <v>6200</v>
      </c>
      <c r="Q74" s="1">
        <v>5400</v>
      </c>
      <c r="R74" s="1">
        <v>600</v>
      </c>
      <c r="S74" s="1">
        <f t="shared" si="7"/>
        <v>12200</v>
      </c>
      <c r="T74" s="1">
        <f t="shared" si="8"/>
        <v>79400</v>
      </c>
    </row>
    <row r="75" spans="1:20">
      <c r="A75" s="1" t="s">
        <v>227</v>
      </c>
      <c r="B75" s="1" t="s">
        <v>228</v>
      </c>
      <c r="C75" s="1" t="s">
        <v>29</v>
      </c>
      <c r="D75" s="1" t="s">
        <v>40</v>
      </c>
      <c r="E75" s="1" t="s">
        <v>229</v>
      </c>
      <c r="F75" s="2">
        <v>45206</v>
      </c>
      <c r="G75" s="1" t="s">
        <v>25</v>
      </c>
      <c r="H75" s="1" t="s">
        <v>26</v>
      </c>
      <c r="I75" s="1">
        <f t="shared" ca="1" si="5"/>
        <v>3</v>
      </c>
      <c r="J75" s="1">
        <v>50000</v>
      </c>
      <c r="K75" s="1">
        <v>10000</v>
      </c>
      <c r="L75" s="1">
        <v>5000</v>
      </c>
      <c r="M75" s="1">
        <v>5500</v>
      </c>
      <c r="N75" s="1">
        <v>3200</v>
      </c>
      <c r="O75" s="1">
        <f t="shared" si="6"/>
        <v>73700</v>
      </c>
      <c r="P75" s="1">
        <v>5000</v>
      </c>
      <c r="Q75" s="1">
        <v>3800</v>
      </c>
      <c r="R75" s="1">
        <v>450</v>
      </c>
      <c r="S75" s="1">
        <f t="shared" si="7"/>
        <v>9250</v>
      </c>
      <c r="T75" s="1">
        <f t="shared" si="8"/>
        <v>64450</v>
      </c>
    </row>
    <row r="76" spans="1:20">
      <c r="A76" s="1" t="s">
        <v>230</v>
      </c>
      <c r="B76" s="1" t="s">
        <v>231</v>
      </c>
      <c r="C76" s="1" t="s">
        <v>22</v>
      </c>
      <c r="D76" s="1" t="s">
        <v>35</v>
      </c>
      <c r="E76" s="1" t="s">
        <v>57</v>
      </c>
      <c r="F76" s="2">
        <v>44725</v>
      </c>
      <c r="G76" s="1" t="s">
        <v>25</v>
      </c>
      <c r="H76" s="1" t="s">
        <v>32</v>
      </c>
      <c r="I76" s="1">
        <f t="shared" ca="1" si="5"/>
        <v>4</v>
      </c>
      <c r="J76" s="1">
        <v>52000</v>
      </c>
      <c r="K76" s="1">
        <v>10400</v>
      </c>
      <c r="L76" s="1">
        <v>5200</v>
      </c>
      <c r="M76" s="1">
        <v>5500</v>
      </c>
      <c r="N76" s="1">
        <v>3200</v>
      </c>
      <c r="O76" s="1">
        <f t="shared" si="6"/>
        <v>76300</v>
      </c>
      <c r="P76" s="1">
        <v>5200</v>
      </c>
      <c r="Q76" s="1">
        <v>4200</v>
      </c>
      <c r="R76" s="1">
        <v>450</v>
      </c>
      <c r="S76" s="1">
        <f t="shared" si="7"/>
        <v>9850</v>
      </c>
      <c r="T76" s="1">
        <f t="shared" si="8"/>
        <v>66450</v>
      </c>
    </row>
    <row r="77" spans="1:20">
      <c r="A77" s="1" t="s">
        <v>232</v>
      </c>
      <c r="B77" s="1" t="s">
        <v>233</v>
      </c>
      <c r="C77" s="1" t="s">
        <v>29</v>
      </c>
      <c r="D77" s="1" t="s">
        <v>23</v>
      </c>
      <c r="E77" s="1" t="s">
        <v>44</v>
      </c>
      <c r="F77" s="2">
        <v>45564</v>
      </c>
      <c r="G77" s="1" t="s">
        <v>25</v>
      </c>
      <c r="H77" s="1" t="s">
        <v>26</v>
      </c>
      <c r="I77" s="1">
        <f t="shared" ca="1" si="5"/>
        <v>2</v>
      </c>
      <c r="J77" s="1">
        <v>47000</v>
      </c>
      <c r="K77" s="1">
        <v>9400</v>
      </c>
      <c r="L77" s="1">
        <v>4700</v>
      </c>
      <c r="M77" s="1">
        <v>4500</v>
      </c>
      <c r="N77" s="1">
        <v>2800</v>
      </c>
      <c r="O77" s="1">
        <f t="shared" si="6"/>
        <v>68400</v>
      </c>
      <c r="P77" s="1">
        <v>4700</v>
      </c>
      <c r="Q77" s="1">
        <v>3300</v>
      </c>
      <c r="R77" s="1">
        <v>400</v>
      </c>
      <c r="S77" s="1">
        <f t="shared" si="7"/>
        <v>8400</v>
      </c>
      <c r="T77" s="1">
        <f t="shared" si="8"/>
        <v>60000</v>
      </c>
    </row>
    <row r="78" spans="1:20">
      <c r="A78" s="1" t="s">
        <v>234</v>
      </c>
      <c r="B78" s="1" t="s">
        <v>235</v>
      </c>
      <c r="C78" s="1" t="s">
        <v>22</v>
      </c>
      <c r="D78" s="1" t="s">
        <v>53</v>
      </c>
      <c r="E78" s="1" t="s">
        <v>236</v>
      </c>
      <c r="F78" s="2">
        <v>43518</v>
      </c>
      <c r="G78" s="1" t="s">
        <v>25</v>
      </c>
      <c r="H78" s="1" t="s">
        <v>37</v>
      </c>
      <c r="I78" s="1">
        <f t="shared" ca="1" si="5"/>
        <v>7</v>
      </c>
      <c r="J78" s="1">
        <v>60000</v>
      </c>
      <c r="K78" s="1">
        <v>12000</v>
      </c>
      <c r="L78" s="1">
        <v>6000</v>
      </c>
      <c r="M78" s="1">
        <v>6500</v>
      </c>
      <c r="N78" s="1">
        <v>3500</v>
      </c>
      <c r="O78" s="1">
        <f t="shared" si="6"/>
        <v>88000</v>
      </c>
      <c r="P78" s="1">
        <v>6000</v>
      </c>
      <c r="Q78" s="1">
        <v>5000</v>
      </c>
      <c r="R78" s="1">
        <v>550</v>
      </c>
      <c r="S78" s="1">
        <f t="shared" si="7"/>
        <v>11550</v>
      </c>
      <c r="T78" s="1">
        <f t="shared" si="8"/>
        <v>76450</v>
      </c>
    </row>
    <row r="79" spans="1:20">
      <c r="A79" s="1" t="s">
        <v>237</v>
      </c>
      <c r="B79" s="1" t="s">
        <v>238</v>
      </c>
      <c r="C79" s="1" t="s">
        <v>29</v>
      </c>
      <c r="D79" s="1" t="s">
        <v>48</v>
      </c>
      <c r="E79" s="1" t="s">
        <v>49</v>
      </c>
      <c r="F79" s="2">
        <v>46123</v>
      </c>
      <c r="G79" s="1" t="s">
        <v>25</v>
      </c>
      <c r="H79" s="1" t="s">
        <v>26</v>
      </c>
      <c r="I79" s="1">
        <f t="shared" ca="1" si="5"/>
        <v>0</v>
      </c>
      <c r="J79" s="1">
        <v>32000</v>
      </c>
      <c r="K79" s="1">
        <v>6400</v>
      </c>
      <c r="L79" s="1">
        <v>3200</v>
      </c>
      <c r="M79" s="1">
        <v>3000</v>
      </c>
      <c r="N79" s="1">
        <v>1800</v>
      </c>
      <c r="O79" s="1">
        <f t="shared" si="6"/>
        <v>46400</v>
      </c>
      <c r="P79" s="1">
        <v>3200</v>
      </c>
      <c r="Q79" s="1">
        <v>1700</v>
      </c>
      <c r="R79" s="1">
        <v>300</v>
      </c>
      <c r="S79" s="1">
        <f t="shared" si="7"/>
        <v>5200</v>
      </c>
      <c r="T79" s="1">
        <f t="shared" si="8"/>
        <v>41200</v>
      </c>
    </row>
    <row r="80" spans="1:20">
      <c r="A80" s="1" t="s">
        <v>239</v>
      </c>
      <c r="B80" s="1" t="s">
        <v>240</v>
      </c>
      <c r="C80" s="1" t="s">
        <v>22</v>
      </c>
      <c r="D80" s="1" t="s">
        <v>40</v>
      </c>
      <c r="E80" s="1" t="s">
        <v>95</v>
      </c>
      <c r="F80" s="2">
        <v>44048</v>
      </c>
      <c r="G80" s="1" t="s">
        <v>25</v>
      </c>
      <c r="H80" s="1" t="s">
        <v>32</v>
      </c>
      <c r="I80" s="1">
        <f t="shared" ca="1" si="5"/>
        <v>6</v>
      </c>
      <c r="J80" s="1">
        <v>63000</v>
      </c>
      <c r="K80" s="1">
        <v>12600</v>
      </c>
      <c r="L80" s="1">
        <v>6300</v>
      </c>
      <c r="M80" s="1">
        <v>7000</v>
      </c>
      <c r="N80" s="1">
        <v>4000</v>
      </c>
      <c r="O80" s="1">
        <f t="shared" si="6"/>
        <v>92900</v>
      </c>
      <c r="P80" s="1">
        <v>6300</v>
      </c>
      <c r="Q80" s="1">
        <v>5500</v>
      </c>
      <c r="R80" s="1">
        <v>600</v>
      </c>
      <c r="S80" s="1">
        <f t="shared" si="7"/>
        <v>12400</v>
      </c>
      <c r="T80" s="1">
        <f t="shared" si="8"/>
        <v>80500</v>
      </c>
    </row>
    <row r="81" spans="1:20">
      <c r="A81" s="1" t="s">
        <v>241</v>
      </c>
      <c r="B81" s="1" t="s">
        <v>242</v>
      </c>
      <c r="C81" s="1" t="s">
        <v>29</v>
      </c>
      <c r="D81" s="1" t="s">
        <v>35</v>
      </c>
      <c r="E81" s="1" t="s">
        <v>69</v>
      </c>
      <c r="F81" s="2">
        <v>45977</v>
      </c>
      <c r="G81" s="1" t="s">
        <v>25</v>
      </c>
      <c r="H81" s="1" t="s">
        <v>26</v>
      </c>
      <c r="I81" s="1">
        <f t="shared" ca="1" si="5"/>
        <v>0</v>
      </c>
      <c r="J81" s="1">
        <v>44000</v>
      </c>
      <c r="K81" s="1">
        <v>8800</v>
      </c>
      <c r="L81" s="1">
        <v>4400</v>
      </c>
      <c r="M81" s="1">
        <v>4500</v>
      </c>
      <c r="N81" s="1">
        <v>2700</v>
      </c>
      <c r="O81" s="1">
        <f t="shared" si="6"/>
        <v>64400</v>
      </c>
      <c r="P81" s="1">
        <v>4400</v>
      </c>
      <c r="Q81" s="1">
        <v>3000</v>
      </c>
      <c r="R81" s="1">
        <v>400</v>
      </c>
      <c r="S81" s="1">
        <f t="shared" si="7"/>
        <v>7800</v>
      </c>
      <c r="T81" s="1">
        <f t="shared" si="8"/>
        <v>56600</v>
      </c>
    </row>
    <row r="82" spans="1:20">
      <c r="A82" s="1" t="s">
        <v>243</v>
      </c>
      <c r="B82" s="1" t="s">
        <v>244</v>
      </c>
      <c r="C82" s="1" t="s">
        <v>22</v>
      </c>
      <c r="D82" s="1" t="s">
        <v>23</v>
      </c>
      <c r="E82" s="1" t="s">
        <v>245</v>
      </c>
      <c r="F82" s="2">
        <v>44401</v>
      </c>
      <c r="G82" s="1" t="s">
        <v>25</v>
      </c>
      <c r="H82" s="1" t="s">
        <v>45</v>
      </c>
      <c r="I82" s="1">
        <f t="shared" ca="1" si="5"/>
        <v>5</v>
      </c>
      <c r="J82" s="1">
        <v>68000</v>
      </c>
      <c r="K82" s="1">
        <v>13600</v>
      </c>
      <c r="L82" s="1">
        <v>6800</v>
      </c>
      <c r="M82" s="1">
        <v>7500</v>
      </c>
      <c r="N82" s="1">
        <v>4000</v>
      </c>
      <c r="O82" s="1">
        <f t="shared" si="6"/>
        <v>99900</v>
      </c>
      <c r="P82" s="1">
        <v>6800</v>
      </c>
      <c r="Q82" s="1">
        <v>6200</v>
      </c>
      <c r="R82" s="1">
        <v>650</v>
      </c>
      <c r="S82" s="1">
        <f t="shared" si="7"/>
        <v>13650</v>
      </c>
      <c r="T82" s="1">
        <f t="shared" si="8"/>
        <v>86250</v>
      </c>
    </row>
    <row r="83" spans="1:20">
      <c r="A83" s="1" t="s">
        <v>246</v>
      </c>
      <c r="B83" s="1" t="s">
        <v>247</v>
      </c>
      <c r="C83" s="1" t="s">
        <v>29</v>
      </c>
      <c r="D83" s="1" t="s">
        <v>30</v>
      </c>
      <c r="E83" s="1" t="s">
        <v>31</v>
      </c>
      <c r="F83" s="2">
        <v>44993</v>
      </c>
      <c r="G83" s="1" t="s">
        <v>25</v>
      </c>
      <c r="H83" s="1" t="s">
        <v>26</v>
      </c>
      <c r="I83" s="1">
        <f t="shared" ca="1" si="5"/>
        <v>3</v>
      </c>
      <c r="J83" s="1">
        <v>37000</v>
      </c>
      <c r="K83" s="1">
        <v>7400</v>
      </c>
      <c r="L83" s="1">
        <v>3700</v>
      </c>
      <c r="M83" s="1">
        <v>3500</v>
      </c>
      <c r="N83" s="1">
        <v>2200</v>
      </c>
      <c r="O83" s="1">
        <f t="shared" si="6"/>
        <v>53800</v>
      </c>
      <c r="P83" s="1">
        <v>3700</v>
      </c>
      <c r="Q83" s="1">
        <v>2200</v>
      </c>
      <c r="R83" s="1">
        <v>350</v>
      </c>
      <c r="S83" s="1">
        <f t="shared" si="7"/>
        <v>6250</v>
      </c>
      <c r="T83" s="1">
        <f t="shared" si="8"/>
        <v>47550</v>
      </c>
    </row>
    <row r="84" spans="1:20">
      <c r="A84" s="1" t="s">
        <v>248</v>
      </c>
      <c r="B84" s="1" t="s">
        <v>249</v>
      </c>
      <c r="C84" s="1" t="s">
        <v>22</v>
      </c>
      <c r="D84" s="1" t="s">
        <v>48</v>
      </c>
      <c r="E84" s="1" t="s">
        <v>72</v>
      </c>
      <c r="F84" s="2">
        <v>43818</v>
      </c>
      <c r="G84" s="1" t="s">
        <v>25</v>
      </c>
      <c r="H84" s="1" t="s">
        <v>32</v>
      </c>
      <c r="I84" s="1">
        <f t="shared" ca="1" si="5"/>
        <v>6</v>
      </c>
      <c r="J84" s="1">
        <v>60000</v>
      </c>
      <c r="K84" s="1">
        <v>12000</v>
      </c>
      <c r="L84" s="1">
        <v>6000</v>
      </c>
      <c r="M84" s="1">
        <v>7000</v>
      </c>
      <c r="N84" s="1">
        <v>4000</v>
      </c>
      <c r="O84" s="1">
        <f t="shared" si="6"/>
        <v>89000</v>
      </c>
      <c r="P84" s="1">
        <v>6000</v>
      </c>
      <c r="Q84" s="1">
        <v>5200</v>
      </c>
      <c r="R84" s="1">
        <v>600</v>
      </c>
      <c r="S84" s="1">
        <f t="shared" si="7"/>
        <v>11800</v>
      </c>
      <c r="T84" s="1">
        <f t="shared" si="8"/>
        <v>77200</v>
      </c>
    </row>
    <row r="85" spans="1:20">
      <c r="A85" s="1" t="s">
        <v>250</v>
      </c>
      <c r="B85" s="1" t="s">
        <v>251</v>
      </c>
      <c r="C85" s="1" t="s">
        <v>29</v>
      </c>
      <c r="D85" s="1" t="s">
        <v>40</v>
      </c>
      <c r="E85" s="1" t="s">
        <v>113</v>
      </c>
      <c r="F85" s="2">
        <v>45439</v>
      </c>
      <c r="G85" s="1" t="s">
        <v>25</v>
      </c>
      <c r="H85" s="1" t="s">
        <v>26</v>
      </c>
      <c r="I85" s="1">
        <f t="shared" ca="1" si="5"/>
        <v>2</v>
      </c>
      <c r="J85" s="1">
        <v>39000</v>
      </c>
      <c r="K85" s="1">
        <v>7800</v>
      </c>
      <c r="L85" s="1">
        <v>3900</v>
      </c>
      <c r="M85" s="1">
        <v>4000</v>
      </c>
      <c r="N85" s="1">
        <v>2300</v>
      </c>
      <c r="O85" s="1">
        <f t="shared" si="6"/>
        <v>57000</v>
      </c>
      <c r="P85" s="1">
        <v>3900</v>
      </c>
      <c r="Q85" s="1">
        <v>2500</v>
      </c>
      <c r="R85" s="1">
        <v>350</v>
      </c>
      <c r="S85" s="1">
        <f t="shared" si="7"/>
        <v>6750</v>
      </c>
      <c r="T85" s="1">
        <f t="shared" si="8"/>
        <v>50250</v>
      </c>
    </row>
    <row r="86" spans="1:20">
      <c r="A86" s="1" t="s">
        <v>252</v>
      </c>
      <c r="B86" s="1" t="s">
        <v>253</v>
      </c>
      <c r="C86" s="1" t="s">
        <v>22</v>
      </c>
      <c r="D86" s="1" t="s">
        <v>35</v>
      </c>
      <c r="E86" s="1" t="s">
        <v>110</v>
      </c>
      <c r="F86" s="2">
        <v>44571</v>
      </c>
      <c r="G86" s="1" t="s">
        <v>25</v>
      </c>
      <c r="H86" s="1" t="s">
        <v>37</v>
      </c>
      <c r="I86" s="1">
        <f t="shared" ca="1" si="5"/>
        <v>4</v>
      </c>
      <c r="J86" s="1">
        <v>45000</v>
      </c>
      <c r="K86" s="1">
        <v>9000</v>
      </c>
      <c r="L86" s="1">
        <v>4500</v>
      </c>
      <c r="M86" s="1">
        <v>5000</v>
      </c>
      <c r="N86" s="1">
        <v>2800</v>
      </c>
      <c r="O86" s="1">
        <f t="shared" si="6"/>
        <v>66300</v>
      </c>
      <c r="P86" s="1">
        <v>4500</v>
      </c>
      <c r="Q86" s="1">
        <v>3200</v>
      </c>
      <c r="R86" s="1">
        <v>400</v>
      </c>
      <c r="S86" s="1">
        <f t="shared" si="7"/>
        <v>8100</v>
      </c>
      <c r="T86" s="1">
        <f t="shared" si="8"/>
        <v>58200</v>
      </c>
    </row>
    <row r="87" spans="1:20">
      <c r="A87" s="1" t="s">
        <v>254</v>
      </c>
      <c r="B87" s="1" t="s">
        <v>255</v>
      </c>
      <c r="C87" s="1" t="s">
        <v>29</v>
      </c>
      <c r="D87" s="1" t="s">
        <v>23</v>
      </c>
      <c r="E87" s="1" t="s">
        <v>256</v>
      </c>
      <c r="F87" s="2">
        <v>45184</v>
      </c>
      <c r="G87" s="1" t="s">
        <v>25</v>
      </c>
      <c r="H87" s="1" t="s">
        <v>26</v>
      </c>
      <c r="I87" s="1">
        <f t="shared" ca="1" si="5"/>
        <v>3</v>
      </c>
      <c r="J87" s="1">
        <v>70000</v>
      </c>
      <c r="K87" s="1">
        <v>14000</v>
      </c>
      <c r="L87" s="1">
        <v>7000</v>
      </c>
      <c r="M87" s="1">
        <v>8000</v>
      </c>
      <c r="N87" s="1">
        <v>4500</v>
      </c>
      <c r="O87" s="1">
        <f t="shared" si="6"/>
        <v>103500</v>
      </c>
      <c r="P87" s="1">
        <v>7000</v>
      </c>
      <c r="Q87" s="1">
        <v>6500</v>
      </c>
      <c r="R87" s="1">
        <v>700</v>
      </c>
      <c r="S87" s="1">
        <f t="shared" si="7"/>
        <v>14200</v>
      </c>
      <c r="T87" s="1">
        <f t="shared" si="8"/>
        <v>89300</v>
      </c>
    </row>
    <row r="88" spans="1:20">
      <c r="A88" s="1" t="s">
        <v>257</v>
      </c>
      <c r="B88" s="1" t="s">
        <v>258</v>
      </c>
      <c r="C88" s="1" t="s">
        <v>22</v>
      </c>
      <c r="D88" s="1" t="s">
        <v>53</v>
      </c>
      <c r="E88" s="1" t="s">
        <v>84</v>
      </c>
      <c r="F88" s="2">
        <v>43984</v>
      </c>
      <c r="G88" s="1" t="s">
        <v>25</v>
      </c>
      <c r="H88" s="1" t="s">
        <v>32</v>
      </c>
      <c r="I88" s="1">
        <f t="shared" ca="1" si="5"/>
        <v>6</v>
      </c>
      <c r="J88" s="1">
        <v>47000</v>
      </c>
      <c r="K88" s="1">
        <v>9400</v>
      </c>
      <c r="L88" s="1">
        <v>4700</v>
      </c>
      <c r="M88" s="1">
        <v>5000</v>
      </c>
      <c r="N88" s="1">
        <v>3000</v>
      </c>
      <c r="O88" s="1">
        <f t="shared" si="6"/>
        <v>69100</v>
      </c>
      <c r="P88" s="1">
        <v>4700</v>
      </c>
      <c r="Q88" s="1">
        <v>3400</v>
      </c>
      <c r="R88" s="1">
        <v>450</v>
      </c>
      <c r="S88" s="1">
        <f t="shared" si="7"/>
        <v>8550</v>
      </c>
      <c r="T88" s="1">
        <f t="shared" si="8"/>
        <v>60550</v>
      </c>
    </row>
    <row r="89" spans="1:20">
      <c r="A89" s="1" t="s">
        <v>259</v>
      </c>
      <c r="B89" s="1" t="s">
        <v>260</v>
      </c>
      <c r="C89" s="1" t="s">
        <v>29</v>
      </c>
      <c r="D89" s="1" t="s">
        <v>48</v>
      </c>
      <c r="E89" s="1" t="s">
        <v>119</v>
      </c>
      <c r="F89" s="2">
        <v>45588</v>
      </c>
      <c r="G89" s="1" t="s">
        <v>25</v>
      </c>
      <c r="H89" s="1" t="s">
        <v>26</v>
      </c>
      <c r="I89" s="1">
        <f t="shared" ca="1" si="5"/>
        <v>1</v>
      </c>
      <c r="J89" s="1">
        <v>34000</v>
      </c>
      <c r="K89" s="1">
        <v>6800</v>
      </c>
      <c r="L89" s="1">
        <v>3400</v>
      </c>
      <c r="M89" s="1">
        <v>3000</v>
      </c>
      <c r="N89" s="1">
        <v>1800</v>
      </c>
      <c r="O89" s="1">
        <f t="shared" si="6"/>
        <v>49000</v>
      </c>
      <c r="P89" s="1">
        <v>3400</v>
      </c>
      <c r="Q89" s="1">
        <v>1900</v>
      </c>
      <c r="R89" s="1">
        <v>300</v>
      </c>
      <c r="S89" s="1">
        <f t="shared" si="7"/>
        <v>5600</v>
      </c>
      <c r="T89" s="1">
        <f t="shared" si="8"/>
        <v>43400</v>
      </c>
    </row>
    <row r="90" spans="1:20">
      <c r="A90" s="1" t="s">
        <v>261</v>
      </c>
      <c r="B90" s="1" t="s">
        <v>262</v>
      </c>
      <c r="C90" s="1" t="s">
        <v>22</v>
      </c>
      <c r="D90" s="1" t="s">
        <v>35</v>
      </c>
      <c r="E90" s="1" t="s">
        <v>89</v>
      </c>
      <c r="F90" s="2">
        <v>44233</v>
      </c>
      <c r="G90" s="1" t="s">
        <v>25</v>
      </c>
      <c r="H90" s="1" t="s">
        <v>45</v>
      </c>
      <c r="I90" s="1">
        <f t="shared" ca="1" si="5"/>
        <v>5</v>
      </c>
      <c r="J90" s="1">
        <v>48000</v>
      </c>
      <c r="K90" s="1">
        <v>9600</v>
      </c>
      <c r="L90" s="1">
        <v>4800</v>
      </c>
      <c r="M90" s="1">
        <v>5000</v>
      </c>
      <c r="N90" s="1">
        <v>3000</v>
      </c>
      <c r="O90" s="1">
        <f t="shared" si="6"/>
        <v>70400</v>
      </c>
      <c r="P90" s="1">
        <v>4800</v>
      </c>
      <c r="Q90" s="1">
        <v>3500</v>
      </c>
      <c r="R90" s="1">
        <v>450</v>
      </c>
      <c r="S90" s="1">
        <f t="shared" si="7"/>
        <v>8750</v>
      </c>
      <c r="T90" s="1">
        <f t="shared" si="8"/>
        <v>61650</v>
      </c>
    </row>
    <row r="91" spans="1:20">
      <c r="A91" s="1" t="s">
        <v>263</v>
      </c>
      <c r="B91" s="1" t="s">
        <v>264</v>
      </c>
      <c r="C91" s="1" t="s">
        <v>29</v>
      </c>
      <c r="D91" s="1" t="s">
        <v>30</v>
      </c>
      <c r="E91" s="1" t="s">
        <v>81</v>
      </c>
      <c r="F91" s="2">
        <v>43689</v>
      </c>
      <c r="G91" s="1" t="s">
        <v>25</v>
      </c>
      <c r="H91" s="1" t="s">
        <v>26</v>
      </c>
      <c r="I91" s="1">
        <f t="shared" ca="1" si="5"/>
        <v>7</v>
      </c>
      <c r="J91" s="1">
        <v>64000</v>
      </c>
      <c r="K91" s="1">
        <v>12800</v>
      </c>
      <c r="L91" s="1">
        <v>6400</v>
      </c>
      <c r="M91" s="1">
        <v>7000</v>
      </c>
      <c r="N91" s="1">
        <v>4000</v>
      </c>
      <c r="O91" s="1">
        <f t="shared" si="6"/>
        <v>94200</v>
      </c>
      <c r="P91" s="1">
        <v>6400</v>
      </c>
      <c r="Q91" s="1">
        <v>5700</v>
      </c>
      <c r="R91" s="1">
        <v>600</v>
      </c>
      <c r="S91" s="1">
        <f t="shared" si="7"/>
        <v>12700</v>
      </c>
      <c r="T91" s="1">
        <f t="shared" si="8"/>
        <v>81500</v>
      </c>
    </row>
    <row r="92" spans="1:20">
      <c r="A92" s="1" t="s">
        <v>265</v>
      </c>
      <c r="B92" s="1" t="s">
        <v>266</v>
      </c>
      <c r="C92" s="1" t="s">
        <v>22</v>
      </c>
      <c r="D92" s="1" t="s">
        <v>23</v>
      </c>
      <c r="E92" s="1" t="s">
        <v>267</v>
      </c>
      <c r="F92" s="2">
        <v>43941</v>
      </c>
      <c r="G92" s="1" t="s">
        <v>25</v>
      </c>
      <c r="H92" s="1" t="s">
        <v>32</v>
      </c>
      <c r="I92" s="1">
        <f t="shared" ca="1" si="5"/>
        <v>6</v>
      </c>
      <c r="J92" s="1">
        <v>75000</v>
      </c>
      <c r="K92" s="1">
        <v>15000</v>
      </c>
      <c r="L92" s="1">
        <v>7500</v>
      </c>
      <c r="M92" s="1">
        <v>8500</v>
      </c>
      <c r="N92" s="1">
        <v>5000</v>
      </c>
      <c r="O92" s="1">
        <f t="shared" si="6"/>
        <v>111000</v>
      </c>
      <c r="P92" s="1">
        <v>7500</v>
      </c>
      <c r="Q92" s="1">
        <v>7000</v>
      </c>
      <c r="R92" s="1">
        <v>750</v>
      </c>
      <c r="S92" s="1">
        <f t="shared" si="7"/>
        <v>15250</v>
      </c>
      <c r="T92" s="1">
        <f t="shared" si="8"/>
        <v>95750</v>
      </c>
    </row>
    <row r="93" spans="1:20">
      <c r="A93" s="1" t="s">
        <v>268</v>
      </c>
      <c r="B93" s="1" t="s">
        <v>269</v>
      </c>
      <c r="C93" s="1" t="s">
        <v>29</v>
      </c>
      <c r="D93" s="1" t="s">
        <v>40</v>
      </c>
      <c r="E93" s="1" t="s">
        <v>41</v>
      </c>
      <c r="F93" s="2">
        <v>45674</v>
      </c>
      <c r="G93" s="1" t="s">
        <v>25</v>
      </c>
      <c r="H93" s="1" t="s">
        <v>26</v>
      </c>
      <c r="I93" s="1">
        <f t="shared" ca="1" si="5"/>
        <v>1</v>
      </c>
      <c r="J93" s="1">
        <v>36000</v>
      </c>
      <c r="K93" s="1">
        <v>7200</v>
      </c>
      <c r="L93" s="1">
        <v>3600</v>
      </c>
      <c r="M93" s="1">
        <v>3500</v>
      </c>
      <c r="N93" s="1">
        <v>2000</v>
      </c>
      <c r="O93" s="1">
        <f t="shared" si="6"/>
        <v>52300</v>
      </c>
      <c r="P93" s="1">
        <v>3600</v>
      </c>
      <c r="Q93" s="1">
        <v>2100</v>
      </c>
      <c r="R93" s="1">
        <v>300</v>
      </c>
      <c r="S93" s="1">
        <f t="shared" si="7"/>
        <v>6000</v>
      </c>
      <c r="T93" s="1">
        <f t="shared" si="8"/>
        <v>46300</v>
      </c>
    </row>
    <row r="94" spans="1:20">
      <c r="A94" s="1" t="s">
        <v>270</v>
      </c>
      <c r="B94" s="1" t="s">
        <v>271</v>
      </c>
      <c r="C94" s="1" t="s">
        <v>22</v>
      </c>
      <c r="D94" s="1" t="s">
        <v>48</v>
      </c>
      <c r="E94" s="1" t="s">
        <v>49</v>
      </c>
      <c r="F94" s="2">
        <v>44740</v>
      </c>
      <c r="G94" s="1" t="s">
        <v>25</v>
      </c>
      <c r="H94" s="1" t="s">
        <v>37</v>
      </c>
      <c r="I94" s="1">
        <f t="shared" ca="1" si="5"/>
        <v>4</v>
      </c>
      <c r="J94" s="1">
        <v>35000</v>
      </c>
      <c r="K94" s="1">
        <v>7000</v>
      </c>
      <c r="L94" s="1">
        <v>3500</v>
      </c>
      <c r="M94" s="1">
        <v>3500</v>
      </c>
      <c r="N94" s="1">
        <v>2000</v>
      </c>
      <c r="O94" s="1">
        <f t="shared" si="6"/>
        <v>51000</v>
      </c>
      <c r="P94" s="1">
        <v>3500</v>
      </c>
      <c r="Q94" s="1">
        <v>2000</v>
      </c>
      <c r="R94" s="1">
        <v>300</v>
      </c>
      <c r="S94" s="1">
        <f t="shared" si="7"/>
        <v>5800</v>
      </c>
      <c r="T94" s="1">
        <f t="shared" si="8"/>
        <v>45200</v>
      </c>
    </row>
    <row r="95" spans="1:20">
      <c r="A95" s="1" t="s">
        <v>272</v>
      </c>
      <c r="B95" s="1" t="s">
        <v>273</v>
      </c>
      <c r="C95" s="1" t="s">
        <v>29</v>
      </c>
      <c r="D95" s="1" t="s">
        <v>35</v>
      </c>
      <c r="E95" s="1" t="s">
        <v>128</v>
      </c>
      <c r="F95" s="2">
        <v>44144</v>
      </c>
      <c r="G95" s="1" t="s">
        <v>25</v>
      </c>
      <c r="H95" s="1" t="s">
        <v>26</v>
      </c>
      <c r="I95" s="1">
        <f t="shared" ca="1" si="5"/>
        <v>5</v>
      </c>
      <c r="J95" s="1">
        <v>66000</v>
      </c>
      <c r="K95" s="1">
        <v>13200</v>
      </c>
      <c r="L95" s="1">
        <v>6600</v>
      </c>
      <c r="M95" s="1">
        <v>7500</v>
      </c>
      <c r="N95" s="1">
        <v>4000</v>
      </c>
      <c r="O95" s="1">
        <f t="shared" si="6"/>
        <v>97300</v>
      </c>
      <c r="P95" s="1">
        <v>6600</v>
      </c>
      <c r="Q95" s="1">
        <v>6000</v>
      </c>
      <c r="R95" s="1">
        <v>650</v>
      </c>
      <c r="S95" s="1">
        <f t="shared" si="7"/>
        <v>13250</v>
      </c>
      <c r="T95" s="1">
        <f t="shared" si="8"/>
        <v>84050</v>
      </c>
    </row>
    <row r="96" spans="1:20">
      <c r="A96" s="1" t="s">
        <v>274</v>
      </c>
      <c r="B96" s="1" t="s">
        <v>275</v>
      </c>
      <c r="C96" s="1" t="s">
        <v>22</v>
      </c>
      <c r="D96" s="1" t="s">
        <v>23</v>
      </c>
      <c r="E96" s="1" t="s">
        <v>276</v>
      </c>
      <c r="F96" s="2">
        <v>43538</v>
      </c>
      <c r="G96" s="1" t="s">
        <v>25</v>
      </c>
      <c r="H96" s="1" t="s">
        <v>32</v>
      </c>
      <c r="I96" s="1">
        <f t="shared" ca="1" si="5"/>
        <v>7</v>
      </c>
      <c r="J96" s="1">
        <v>80000</v>
      </c>
      <c r="K96" s="1">
        <v>16000</v>
      </c>
      <c r="L96" s="1">
        <v>8000</v>
      </c>
      <c r="M96" s="1">
        <v>9000</v>
      </c>
      <c r="N96" s="1">
        <v>5000</v>
      </c>
      <c r="O96" s="1">
        <f t="shared" si="6"/>
        <v>118000</v>
      </c>
      <c r="P96" s="1">
        <v>8000</v>
      </c>
      <c r="Q96" s="1">
        <v>7500</v>
      </c>
      <c r="R96" s="1">
        <v>800</v>
      </c>
      <c r="S96" s="1">
        <f t="shared" si="7"/>
        <v>16300</v>
      </c>
      <c r="T96" s="1">
        <f t="shared" si="8"/>
        <v>101700</v>
      </c>
    </row>
    <row r="97" spans="1:20">
      <c r="A97" s="1" t="s">
        <v>277</v>
      </c>
      <c r="B97" s="1" t="s">
        <v>278</v>
      </c>
      <c r="C97" s="1" t="s">
        <v>29</v>
      </c>
      <c r="D97" s="1" t="s">
        <v>30</v>
      </c>
      <c r="E97" s="1" t="s">
        <v>279</v>
      </c>
      <c r="F97" s="2">
        <v>44398</v>
      </c>
      <c r="G97" s="1" t="s">
        <v>25</v>
      </c>
      <c r="H97" s="1" t="s">
        <v>26</v>
      </c>
      <c r="I97" s="1">
        <f t="shared" ca="1" si="5"/>
        <v>5</v>
      </c>
      <c r="J97" s="1">
        <v>58000</v>
      </c>
      <c r="K97" s="1">
        <v>11600</v>
      </c>
      <c r="L97" s="1">
        <v>5800</v>
      </c>
      <c r="M97" s="1">
        <v>6500</v>
      </c>
      <c r="N97" s="1">
        <v>3500</v>
      </c>
      <c r="O97" s="1">
        <f t="shared" si="6"/>
        <v>85400</v>
      </c>
      <c r="P97" s="1">
        <v>5800</v>
      </c>
      <c r="Q97" s="1">
        <v>4700</v>
      </c>
      <c r="R97" s="1">
        <v>500</v>
      </c>
      <c r="S97" s="1">
        <f t="shared" si="7"/>
        <v>11000</v>
      </c>
      <c r="T97" s="1">
        <f t="shared" si="8"/>
        <v>74400</v>
      </c>
    </row>
    <row r="98" spans="1:20">
      <c r="A98" s="1" t="s">
        <v>280</v>
      </c>
      <c r="B98" s="1" t="s">
        <v>281</v>
      </c>
      <c r="C98" s="1" t="s">
        <v>22</v>
      </c>
      <c r="D98" s="1" t="s">
        <v>53</v>
      </c>
      <c r="E98" s="1" t="s">
        <v>216</v>
      </c>
      <c r="F98" s="2">
        <v>44900</v>
      </c>
      <c r="G98" s="1" t="s">
        <v>25</v>
      </c>
      <c r="H98" s="1" t="s">
        <v>45</v>
      </c>
      <c r="I98" s="1">
        <f t="shared" ca="1" si="5"/>
        <v>3</v>
      </c>
      <c r="J98" s="1">
        <v>55000</v>
      </c>
      <c r="K98" s="1">
        <v>11000</v>
      </c>
      <c r="L98" s="1">
        <v>5500</v>
      </c>
      <c r="M98" s="1">
        <v>6000</v>
      </c>
      <c r="N98" s="1">
        <v>3500</v>
      </c>
      <c r="O98" s="1">
        <f t="shared" si="6"/>
        <v>81000</v>
      </c>
      <c r="P98" s="1">
        <v>5500</v>
      </c>
      <c r="Q98" s="1">
        <v>4300</v>
      </c>
      <c r="R98" s="1">
        <v>500</v>
      </c>
      <c r="S98" s="1">
        <f t="shared" si="7"/>
        <v>10300</v>
      </c>
      <c r="T98" s="1">
        <f t="shared" si="8"/>
        <v>70700</v>
      </c>
    </row>
    <row r="99" spans="1:20">
      <c r="A99" s="1" t="s">
        <v>282</v>
      </c>
      <c r="B99" s="1" t="s">
        <v>283</v>
      </c>
      <c r="C99" s="1" t="s">
        <v>29</v>
      </c>
      <c r="D99" s="1" t="s">
        <v>48</v>
      </c>
      <c r="E99" s="1" t="s">
        <v>72</v>
      </c>
      <c r="F99" s="2">
        <v>45064</v>
      </c>
      <c r="G99" s="1" t="s">
        <v>25</v>
      </c>
      <c r="H99" s="1" t="s">
        <v>26</v>
      </c>
      <c r="I99" s="1">
        <f t="shared" ca="1" si="5"/>
        <v>3</v>
      </c>
      <c r="J99" s="1">
        <v>57000</v>
      </c>
      <c r="K99" s="1">
        <v>11400</v>
      </c>
      <c r="L99" s="1">
        <v>5700</v>
      </c>
      <c r="M99" s="1">
        <v>6500</v>
      </c>
      <c r="N99" s="1">
        <v>3500</v>
      </c>
      <c r="O99" s="1">
        <f t="shared" si="6"/>
        <v>84100</v>
      </c>
      <c r="P99" s="1">
        <v>5700</v>
      </c>
      <c r="Q99" s="1">
        <v>4500</v>
      </c>
      <c r="R99" s="1">
        <v>500</v>
      </c>
      <c r="S99" s="1">
        <f t="shared" si="7"/>
        <v>10700</v>
      </c>
      <c r="T99" s="1">
        <f t="shared" si="8"/>
        <v>73400</v>
      </c>
    </row>
    <row r="100" spans="1:20">
      <c r="A100" s="1" t="s">
        <v>284</v>
      </c>
      <c r="B100" s="1" t="s">
        <v>285</v>
      </c>
      <c r="C100" s="1" t="s">
        <v>22</v>
      </c>
      <c r="D100" s="1" t="s">
        <v>23</v>
      </c>
      <c r="E100" s="1" t="s">
        <v>286</v>
      </c>
      <c r="F100" s="2">
        <v>43369</v>
      </c>
      <c r="G100" s="1" t="s">
        <v>25</v>
      </c>
      <c r="H100" s="1" t="s">
        <v>32</v>
      </c>
      <c r="I100" s="1">
        <f t="shared" ca="1" si="5"/>
        <v>8</v>
      </c>
      <c r="J100" s="1">
        <v>85000</v>
      </c>
      <c r="K100" s="1">
        <v>17000</v>
      </c>
      <c r="L100" s="1">
        <v>8500</v>
      </c>
      <c r="M100" s="1">
        <v>10000</v>
      </c>
      <c r="N100" s="1">
        <v>5500</v>
      </c>
      <c r="O100" s="1">
        <f t="shared" si="6"/>
        <v>126000</v>
      </c>
      <c r="P100" s="1">
        <v>8500</v>
      </c>
      <c r="Q100" s="1">
        <v>8000</v>
      </c>
      <c r="R100" s="1">
        <v>850</v>
      </c>
      <c r="S100" s="1">
        <f t="shared" si="7"/>
        <v>17350</v>
      </c>
      <c r="T100" s="1">
        <f t="shared" si="8"/>
        <v>108650</v>
      </c>
    </row>
    <row r="101" spans="1:20">
      <c r="A101" s="1" t="s">
        <v>287</v>
      </c>
      <c r="B101" s="1" t="s">
        <v>288</v>
      </c>
      <c r="C101" s="1" t="s">
        <v>29</v>
      </c>
      <c r="D101" s="1" t="s">
        <v>35</v>
      </c>
      <c r="E101" s="1" t="s">
        <v>128</v>
      </c>
      <c r="F101" s="2">
        <v>45212</v>
      </c>
      <c r="G101" s="1" t="s">
        <v>25</v>
      </c>
      <c r="H101" s="1" t="s">
        <v>26</v>
      </c>
      <c r="I101" s="1">
        <f t="shared" ca="1" si="5"/>
        <v>2</v>
      </c>
      <c r="J101" s="1">
        <v>62000</v>
      </c>
      <c r="K101" s="1">
        <v>12400</v>
      </c>
      <c r="L101" s="1">
        <v>6200</v>
      </c>
      <c r="M101" s="1">
        <v>7000</v>
      </c>
      <c r="N101" s="1">
        <v>4000</v>
      </c>
      <c r="O101" s="1">
        <f t="shared" si="6"/>
        <v>91600</v>
      </c>
      <c r="P101" s="1">
        <v>6200</v>
      </c>
      <c r="Q101" s="1">
        <v>5500</v>
      </c>
      <c r="R101" s="1">
        <v>600</v>
      </c>
      <c r="S101" s="1">
        <f t="shared" si="7"/>
        <v>12300</v>
      </c>
      <c r="T101" s="1">
        <f t="shared" si="8"/>
        <v>79300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0D474-AE73-45E6-81C4-A2C49AAC724F}">
  <dimension ref="A1:X168"/>
  <sheetViews>
    <sheetView topLeftCell="E1" zoomScale="95" workbookViewId="0">
      <selection activeCell="R7" sqref="R7"/>
    </sheetView>
  </sheetViews>
  <sheetFormatPr defaultRowHeight="14.4"/>
  <cols>
    <col min="1" max="1" width="12.88671875" bestFit="1" customWidth="1"/>
    <col min="2" max="2" width="15.6640625" bestFit="1" customWidth="1"/>
    <col min="12" max="12" width="12.44140625" bestFit="1" customWidth="1"/>
    <col min="14" max="14" width="12.44140625" bestFit="1" customWidth="1"/>
    <col min="15" max="15" width="12.88671875" bestFit="1" customWidth="1"/>
    <col min="16" max="16" width="20.33203125" bestFit="1" customWidth="1"/>
    <col min="17" max="17" width="7.5546875" bestFit="1" customWidth="1"/>
    <col min="18" max="18" width="7.77734375" customWidth="1"/>
    <col min="19" max="19" width="9.5546875" customWidth="1"/>
    <col min="20" max="20" width="17.33203125" bestFit="1" customWidth="1"/>
    <col min="21" max="21" width="17.109375" customWidth="1"/>
    <col min="22" max="22" width="15.109375" customWidth="1"/>
    <col min="23" max="23" width="15.5546875" customWidth="1"/>
    <col min="24" max="24" width="17.44140625" customWidth="1"/>
  </cols>
  <sheetData>
    <row r="1" spans="1:24">
      <c r="F1" s="16" t="s">
        <v>308</v>
      </c>
      <c r="G1" s="16"/>
      <c r="H1" s="16"/>
      <c r="I1" s="16"/>
      <c r="J1" s="16"/>
      <c r="K1" s="16"/>
      <c r="L1" s="16"/>
    </row>
    <row r="2" spans="1:24">
      <c r="A2" s="18" t="s">
        <v>307</v>
      </c>
      <c r="B2" s="18"/>
      <c r="O2" s="18" t="s">
        <v>305</v>
      </c>
      <c r="P2" s="18"/>
      <c r="T2" s="16" t="s">
        <v>313</v>
      </c>
      <c r="U2" s="16"/>
      <c r="V2" s="16"/>
      <c r="W2" s="16"/>
    </row>
    <row r="3" spans="1:24">
      <c r="A3" s="19" t="s">
        <v>304</v>
      </c>
      <c r="B3" s="19"/>
      <c r="C3" s="19"/>
      <c r="I3" s="13">
        <v>1</v>
      </c>
      <c r="O3" s="17" t="s">
        <v>17</v>
      </c>
      <c r="P3" s="17"/>
    </row>
    <row r="4" spans="1:24">
      <c r="A4" s="5" t="s">
        <v>289</v>
      </c>
      <c r="B4" t="s">
        <v>291</v>
      </c>
      <c r="F4" s="18" t="s">
        <v>306</v>
      </c>
      <c r="G4" s="18"/>
      <c r="H4" s="18"/>
      <c r="I4" s="18"/>
      <c r="J4" s="18"/>
      <c r="K4" s="18"/>
      <c r="L4" s="18"/>
      <c r="O4" s="5" t="s">
        <v>289</v>
      </c>
      <c r="P4" t="s">
        <v>302</v>
      </c>
      <c r="T4" t="s">
        <v>309</v>
      </c>
      <c r="U4" t="s">
        <v>310</v>
      </c>
      <c r="V4" t="s">
        <v>311</v>
      </c>
      <c r="W4" t="s">
        <v>17</v>
      </c>
      <c r="X4" t="s">
        <v>312</v>
      </c>
    </row>
    <row r="5" spans="1:24">
      <c r="A5" s="6" t="s">
        <v>53</v>
      </c>
      <c r="B5">
        <v>11</v>
      </c>
      <c r="O5" s="6">
        <v>4750</v>
      </c>
      <c r="P5">
        <v>4750</v>
      </c>
      <c r="T5" s="12">
        <f>COUNTA(Table1[Employee ID])</f>
        <v>100</v>
      </c>
      <c r="U5" s="14">
        <f>SUM(Table1[Gross Salary])</f>
        <v>7004000</v>
      </c>
      <c r="V5" s="14">
        <f>SUM(Table1[Net Salary])</f>
        <v>6124300</v>
      </c>
      <c r="W5" s="14">
        <f>SUM(Table1[Total Deduction])</f>
        <v>879700</v>
      </c>
      <c r="X5" s="14">
        <f>AVERAGE(Table1[Net Salary])</f>
        <v>61243</v>
      </c>
    </row>
    <row r="6" spans="1:24">
      <c r="A6" s="6" t="s">
        <v>35</v>
      </c>
      <c r="B6">
        <v>20</v>
      </c>
      <c r="O6" s="6">
        <v>4850</v>
      </c>
      <c r="P6">
        <v>4850</v>
      </c>
    </row>
    <row r="7" spans="1:24">
      <c r="A7" s="6" t="s">
        <v>30</v>
      </c>
      <c r="B7">
        <v>13</v>
      </c>
      <c r="O7" s="6">
        <v>5200</v>
      </c>
      <c r="P7">
        <v>10400</v>
      </c>
    </row>
    <row r="8" spans="1:24">
      <c r="A8" s="6" t="s">
        <v>23</v>
      </c>
      <c r="B8">
        <v>25</v>
      </c>
      <c r="O8" s="6">
        <v>5300</v>
      </c>
      <c r="P8">
        <v>10600</v>
      </c>
    </row>
    <row r="9" spans="1:24">
      <c r="A9" s="6" t="s">
        <v>40</v>
      </c>
      <c r="B9">
        <v>13</v>
      </c>
      <c r="O9" s="6">
        <v>5400</v>
      </c>
      <c r="P9">
        <v>16200</v>
      </c>
    </row>
    <row r="10" spans="1:24">
      <c r="A10" s="6" t="s">
        <v>48</v>
      </c>
      <c r="B10">
        <v>18</v>
      </c>
      <c r="M10" s="1"/>
      <c r="O10" s="6">
        <v>5600</v>
      </c>
      <c r="P10">
        <v>22400</v>
      </c>
    </row>
    <row r="11" spans="1:24">
      <c r="A11" s="6" t="s">
        <v>290</v>
      </c>
      <c r="B11">
        <v>100</v>
      </c>
      <c r="M11" s="11"/>
      <c r="O11" s="6">
        <v>5700</v>
      </c>
      <c r="P11">
        <v>5700</v>
      </c>
    </row>
    <row r="12" spans="1:24">
      <c r="B12">
        <f>GETPIVOTDATA("Employee ID",$A$4)</f>
        <v>100</v>
      </c>
      <c r="M12" s="11"/>
      <c r="O12" s="6">
        <v>5800</v>
      </c>
      <c r="P12">
        <v>17400</v>
      </c>
    </row>
    <row r="13" spans="1:24">
      <c r="M13" s="1"/>
      <c r="O13" s="6">
        <v>5850</v>
      </c>
      <c r="P13">
        <v>5850</v>
      </c>
    </row>
    <row r="14" spans="1:24">
      <c r="M14" s="1"/>
      <c r="O14" s="6">
        <v>5950</v>
      </c>
      <c r="P14">
        <v>5950</v>
      </c>
    </row>
    <row r="15" spans="1:24">
      <c r="O15" s="6">
        <v>6000</v>
      </c>
      <c r="P15">
        <v>18000</v>
      </c>
    </row>
    <row r="16" spans="1:24">
      <c r="O16" s="6">
        <v>6050</v>
      </c>
      <c r="P16">
        <v>6050</v>
      </c>
    </row>
    <row r="17" spans="1:16">
      <c r="A17" s="17" t="s">
        <v>303</v>
      </c>
      <c r="B17" s="17"/>
      <c r="O17" s="6">
        <v>6150</v>
      </c>
      <c r="P17">
        <v>6150</v>
      </c>
    </row>
    <row r="18" spans="1:16">
      <c r="A18" s="5" t="s">
        <v>289</v>
      </c>
      <c r="B18" t="s">
        <v>292</v>
      </c>
      <c r="O18" s="6">
        <v>6250</v>
      </c>
      <c r="P18">
        <v>18750</v>
      </c>
    </row>
    <row r="19" spans="1:16">
      <c r="A19" s="6" t="s">
        <v>53</v>
      </c>
      <c r="B19">
        <v>686000</v>
      </c>
      <c r="O19" s="6">
        <v>6350</v>
      </c>
      <c r="P19">
        <v>6350</v>
      </c>
    </row>
    <row r="20" spans="1:16">
      <c r="A20" s="6" t="s">
        <v>35</v>
      </c>
      <c r="B20">
        <v>1454400</v>
      </c>
      <c r="O20" s="6">
        <v>6550</v>
      </c>
      <c r="P20">
        <v>19650</v>
      </c>
    </row>
    <row r="21" spans="1:16">
      <c r="A21" s="6" t="s">
        <v>30</v>
      </c>
      <c r="B21">
        <v>828900</v>
      </c>
      <c r="I21" s="13">
        <v>2</v>
      </c>
      <c r="O21" s="6">
        <v>6600</v>
      </c>
      <c r="P21">
        <v>6600</v>
      </c>
    </row>
    <row r="22" spans="1:16">
      <c r="A22" s="6" t="s">
        <v>23</v>
      </c>
      <c r="B22">
        <v>2105600</v>
      </c>
      <c r="O22" s="6">
        <v>6650</v>
      </c>
      <c r="P22">
        <v>6650</v>
      </c>
    </row>
    <row r="23" spans="1:16">
      <c r="A23" s="6" t="s">
        <v>40</v>
      </c>
      <c r="B23">
        <v>808900</v>
      </c>
      <c r="O23" s="6">
        <v>6750</v>
      </c>
      <c r="P23">
        <v>20250</v>
      </c>
    </row>
    <row r="24" spans="1:16">
      <c r="A24" s="6" t="s">
        <v>48</v>
      </c>
      <c r="B24">
        <v>1120200</v>
      </c>
      <c r="O24" s="6">
        <v>6900</v>
      </c>
      <c r="P24">
        <v>6900</v>
      </c>
    </row>
    <row r="25" spans="1:16">
      <c r="A25" s="6" t="s">
        <v>290</v>
      </c>
      <c r="B25">
        <v>7004000</v>
      </c>
      <c r="O25" s="6">
        <v>6950</v>
      </c>
      <c r="P25">
        <v>6950</v>
      </c>
    </row>
    <row r="26" spans="1:16">
      <c r="B26" s="7">
        <f>SUM(GETPIVOTDATA("Gross Salary",$A$18))</f>
        <v>7004000</v>
      </c>
      <c r="O26" s="6">
        <v>7150</v>
      </c>
      <c r="P26">
        <v>14300</v>
      </c>
    </row>
    <row r="27" spans="1:16">
      <c r="O27" s="6">
        <v>7200</v>
      </c>
      <c r="P27">
        <v>7200</v>
      </c>
    </row>
    <row r="28" spans="1:16">
      <c r="O28" s="6">
        <v>7400</v>
      </c>
      <c r="P28">
        <v>7400</v>
      </c>
    </row>
    <row r="29" spans="1:16">
      <c r="O29" s="6">
        <v>7450</v>
      </c>
      <c r="P29">
        <v>7450</v>
      </c>
    </row>
    <row r="30" spans="1:16">
      <c r="O30" s="6">
        <v>7500</v>
      </c>
      <c r="P30">
        <v>7500</v>
      </c>
    </row>
    <row r="31" spans="1:16">
      <c r="A31" s="17" t="s">
        <v>295</v>
      </c>
      <c r="B31" s="17"/>
      <c r="O31" s="6">
        <v>7700</v>
      </c>
      <c r="P31">
        <v>7700</v>
      </c>
    </row>
    <row r="32" spans="1:16">
      <c r="A32" s="5" t="s">
        <v>289</v>
      </c>
      <c r="B32" t="s">
        <v>293</v>
      </c>
      <c r="O32" s="6">
        <v>7800</v>
      </c>
      <c r="P32">
        <v>15600</v>
      </c>
    </row>
    <row r="33" spans="1:16">
      <c r="A33" s="6" t="s">
        <v>53</v>
      </c>
      <c r="B33">
        <v>602850</v>
      </c>
      <c r="O33" s="6">
        <v>7900</v>
      </c>
      <c r="P33">
        <v>7900</v>
      </c>
    </row>
    <row r="34" spans="1:16">
      <c r="A34" s="6" t="s">
        <v>35</v>
      </c>
      <c r="B34">
        <v>1270150</v>
      </c>
      <c r="O34" s="6">
        <v>8000</v>
      </c>
      <c r="P34">
        <v>8000</v>
      </c>
    </row>
    <row r="35" spans="1:16">
      <c r="A35" s="6" t="s">
        <v>30</v>
      </c>
      <c r="B35">
        <v>727300</v>
      </c>
      <c r="O35" s="6">
        <v>8100</v>
      </c>
      <c r="P35">
        <v>8100</v>
      </c>
    </row>
    <row r="36" spans="1:16">
      <c r="A36" s="6" t="s">
        <v>23</v>
      </c>
      <c r="B36">
        <v>1829700</v>
      </c>
      <c r="I36" s="13">
        <v>3</v>
      </c>
      <c r="O36" s="6">
        <v>8200</v>
      </c>
      <c r="P36">
        <v>16400</v>
      </c>
    </row>
    <row r="37" spans="1:16">
      <c r="A37" s="6" t="s">
        <v>40</v>
      </c>
      <c r="B37">
        <v>710500</v>
      </c>
      <c r="O37" s="6">
        <v>8250</v>
      </c>
      <c r="P37">
        <v>8250</v>
      </c>
    </row>
    <row r="38" spans="1:16">
      <c r="A38" s="6" t="s">
        <v>48</v>
      </c>
      <c r="B38">
        <v>983800</v>
      </c>
      <c r="O38" s="6">
        <v>8400</v>
      </c>
      <c r="P38">
        <v>8400</v>
      </c>
    </row>
    <row r="39" spans="1:16">
      <c r="A39" s="6" t="s">
        <v>290</v>
      </c>
      <c r="B39">
        <v>6124300</v>
      </c>
      <c r="O39" s="6">
        <v>8500</v>
      </c>
      <c r="P39">
        <v>8500</v>
      </c>
    </row>
    <row r="40" spans="1:16">
      <c r="B40" s="8">
        <f>SUM(GETPIVOTDATA("Net Salary",$A$32))</f>
        <v>6124300</v>
      </c>
      <c r="O40" s="6">
        <v>8550</v>
      </c>
      <c r="P40">
        <v>17100</v>
      </c>
    </row>
    <row r="41" spans="1:16">
      <c r="O41" s="6">
        <v>8750</v>
      </c>
      <c r="P41">
        <v>17500</v>
      </c>
    </row>
    <row r="42" spans="1:16">
      <c r="B42">
        <f>COUNTA(_xlfn.UNIQUE(A33:A38))</f>
        <v>6</v>
      </c>
      <c r="O42" s="6">
        <v>9100</v>
      </c>
      <c r="P42">
        <v>9100</v>
      </c>
    </row>
    <row r="43" spans="1:16">
      <c r="O43" s="6">
        <v>9150</v>
      </c>
      <c r="P43">
        <v>9150</v>
      </c>
    </row>
    <row r="44" spans="1:16">
      <c r="O44" s="6">
        <v>9250</v>
      </c>
      <c r="P44">
        <v>9250</v>
      </c>
    </row>
    <row r="45" spans="1:16">
      <c r="A45" s="10" t="s">
        <v>296</v>
      </c>
      <c r="B45" s="10"/>
      <c r="O45" s="6">
        <v>9350</v>
      </c>
      <c r="P45">
        <v>9350</v>
      </c>
    </row>
    <row r="46" spans="1:16">
      <c r="A46" s="5" t="s">
        <v>289</v>
      </c>
      <c r="B46" t="s">
        <v>294</v>
      </c>
      <c r="O46" s="6">
        <v>9450</v>
      </c>
      <c r="P46">
        <v>9450</v>
      </c>
    </row>
    <row r="47" spans="1:16">
      <c r="A47" s="6" t="s">
        <v>53</v>
      </c>
      <c r="B47">
        <v>62363.63636363636</v>
      </c>
      <c r="O47" s="6">
        <v>9850</v>
      </c>
      <c r="P47">
        <v>9850</v>
      </c>
    </row>
    <row r="48" spans="1:16">
      <c r="A48" s="6" t="s">
        <v>35</v>
      </c>
      <c r="B48">
        <v>72720</v>
      </c>
      <c r="O48" s="6">
        <v>9900</v>
      </c>
      <c r="P48">
        <v>9900</v>
      </c>
    </row>
    <row r="49" spans="1:16">
      <c r="A49" s="6" t="s">
        <v>30</v>
      </c>
      <c r="B49">
        <v>63761.538461538461</v>
      </c>
      <c r="O49" s="6">
        <v>10200</v>
      </c>
      <c r="P49">
        <v>10200</v>
      </c>
    </row>
    <row r="50" spans="1:16">
      <c r="A50" s="6" t="s">
        <v>23</v>
      </c>
      <c r="B50">
        <v>84224</v>
      </c>
      <c r="I50" s="13">
        <v>4</v>
      </c>
      <c r="O50" s="6">
        <v>10300</v>
      </c>
      <c r="P50">
        <v>10300</v>
      </c>
    </row>
    <row r="51" spans="1:16">
      <c r="A51" s="6" t="s">
        <v>40</v>
      </c>
      <c r="B51">
        <v>62223.076923076922</v>
      </c>
      <c r="O51" s="6">
        <v>10500</v>
      </c>
      <c r="P51">
        <v>31500</v>
      </c>
    </row>
    <row r="52" spans="1:16">
      <c r="A52" s="6" t="s">
        <v>48</v>
      </c>
      <c r="B52">
        <v>62233.333333333336</v>
      </c>
      <c r="O52" s="6">
        <v>10700</v>
      </c>
      <c r="P52">
        <v>10700</v>
      </c>
    </row>
    <row r="53" spans="1:16">
      <c r="A53" s="6" t="s">
        <v>290</v>
      </c>
      <c r="B53">
        <v>70040</v>
      </c>
      <c r="O53" s="6">
        <v>10900</v>
      </c>
      <c r="P53">
        <v>10900</v>
      </c>
    </row>
    <row r="54" spans="1:16">
      <c r="B54" s="8">
        <f>AVERAGE(GETPIVOTDATA("Gross Salary",$A$46))</f>
        <v>70040</v>
      </c>
      <c r="O54" s="6">
        <v>11000</v>
      </c>
      <c r="P54">
        <v>11000</v>
      </c>
    </row>
    <row r="55" spans="1:16">
      <c r="O55" s="6">
        <v>11100</v>
      </c>
      <c r="P55">
        <v>11100</v>
      </c>
    </row>
    <row r="56" spans="1:16">
      <c r="O56" s="6">
        <v>11150</v>
      </c>
      <c r="P56">
        <v>11150</v>
      </c>
    </row>
    <row r="57" spans="1:16">
      <c r="O57" s="6">
        <v>11200</v>
      </c>
      <c r="P57">
        <v>11200</v>
      </c>
    </row>
    <row r="58" spans="1:16">
      <c r="O58" s="6">
        <v>11450</v>
      </c>
      <c r="P58">
        <v>11450</v>
      </c>
    </row>
    <row r="59" spans="1:16">
      <c r="A59" s="10" t="s">
        <v>297</v>
      </c>
      <c r="B59" s="10"/>
      <c r="O59" s="6">
        <v>11550</v>
      </c>
      <c r="P59">
        <v>23100</v>
      </c>
    </row>
    <row r="60" spans="1:16">
      <c r="A60" s="5" t="s">
        <v>289</v>
      </c>
      <c r="B60" t="s">
        <v>291</v>
      </c>
      <c r="O60" s="6">
        <v>11800</v>
      </c>
      <c r="P60">
        <v>23600</v>
      </c>
    </row>
    <row r="61" spans="1:16">
      <c r="A61" s="6" t="s">
        <v>29</v>
      </c>
      <c r="B61">
        <v>50</v>
      </c>
      <c r="O61" s="6">
        <v>11900</v>
      </c>
      <c r="P61">
        <v>11900</v>
      </c>
    </row>
    <row r="62" spans="1:16">
      <c r="A62" s="6" t="s">
        <v>22</v>
      </c>
      <c r="B62">
        <v>50</v>
      </c>
      <c r="O62" s="6">
        <v>12200</v>
      </c>
      <c r="P62">
        <v>12200</v>
      </c>
    </row>
    <row r="63" spans="1:16">
      <c r="A63" s="6" t="s">
        <v>290</v>
      </c>
      <c r="B63">
        <v>100</v>
      </c>
      <c r="O63" s="6">
        <v>12300</v>
      </c>
      <c r="P63">
        <v>36900</v>
      </c>
    </row>
    <row r="64" spans="1:16">
      <c r="O64" s="6">
        <v>12400</v>
      </c>
      <c r="P64">
        <v>12400</v>
      </c>
    </row>
    <row r="65" spans="1:16">
      <c r="O65" s="6">
        <v>12700</v>
      </c>
      <c r="P65">
        <v>25400</v>
      </c>
    </row>
    <row r="66" spans="1:16">
      <c r="I66" s="13">
        <v>5</v>
      </c>
      <c r="O66" s="6">
        <v>13100</v>
      </c>
      <c r="P66">
        <v>13100</v>
      </c>
    </row>
    <row r="67" spans="1:16">
      <c r="O67" s="6">
        <v>13250</v>
      </c>
      <c r="P67">
        <v>13250</v>
      </c>
    </row>
    <row r="68" spans="1:16">
      <c r="O68" s="6">
        <v>13450</v>
      </c>
      <c r="P68">
        <v>13450</v>
      </c>
    </row>
    <row r="69" spans="1:16">
      <c r="A69" s="17" t="s">
        <v>298</v>
      </c>
      <c r="B69" s="17"/>
      <c r="O69" s="6">
        <v>13650</v>
      </c>
      <c r="P69">
        <v>13650</v>
      </c>
    </row>
    <row r="70" spans="1:16">
      <c r="A70" s="5" t="s">
        <v>289</v>
      </c>
      <c r="B70" t="s">
        <v>291</v>
      </c>
      <c r="O70" s="6">
        <v>13700</v>
      </c>
      <c r="P70">
        <v>13700</v>
      </c>
    </row>
    <row r="71" spans="1:16">
      <c r="A71" s="6" t="s">
        <v>50</v>
      </c>
      <c r="B71">
        <v>1</v>
      </c>
      <c r="O71" s="6">
        <v>14200</v>
      </c>
      <c r="P71">
        <v>14200</v>
      </c>
    </row>
    <row r="72" spans="1:16">
      <c r="A72" s="6" t="s">
        <v>32</v>
      </c>
      <c r="B72">
        <v>25</v>
      </c>
      <c r="O72" s="6">
        <v>14700</v>
      </c>
      <c r="P72">
        <v>14700</v>
      </c>
    </row>
    <row r="73" spans="1:16">
      <c r="A73" s="6" t="s">
        <v>45</v>
      </c>
      <c r="B73">
        <v>12</v>
      </c>
      <c r="O73" s="6">
        <v>15250</v>
      </c>
      <c r="P73">
        <v>15250</v>
      </c>
    </row>
    <row r="74" spans="1:16">
      <c r="A74" s="6" t="s">
        <v>37</v>
      </c>
      <c r="B74">
        <v>13</v>
      </c>
      <c r="O74" s="6">
        <v>16300</v>
      </c>
      <c r="P74">
        <v>16300</v>
      </c>
    </row>
    <row r="75" spans="1:16">
      <c r="A75" s="6" t="s">
        <v>26</v>
      </c>
      <c r="B75">
        <v>49</v>
      </c>
      <c r="O75" s="6">
        <v>17350</v>
      </c>
      <c r="P75">
        <v>17350</v>
      </c>
    </row>
    <row r="76" spans="1:16">
      <c r="A76" s="6" t="s">
        <v>290</v>
      </c>
      <c r="B76">
        <v>100</v>
      </c>
      <c r="O76" s="6" t="s">
        <v>290</v>
      </c>
      <c r="P76">
        <v>879700</v>
      </c>
    </row>
    <row r="77" spans="1:16">
      <c r="P77" s="9">
        <f>SUM(GETPIVOTDATA("Total Deduction",$O$4))</f>
        <v>879700</v>
      </c>
    </row>
    <row r="80" spans="1:16">
      <c r="I80" s="13">
        <v>6</v>
      </c>
    </row>
    <row r="82" spans="1:9">
      <c r="A82" s="17" t="s">
        <v>299</v>
      </c>
      <c r="B82" s="17"/>
    </row>
    <row r="83" spans="1:9">
      <c r="A83" s="5" t="s">
        <v>289</v>
      </c>
      <c r="B83" t="s">
        <v>293</v>
      </c>
    </row>
    <row r="84" spans="1:9">
      <c r="A84" s="6" t="s">
        <v>50</v>
      </c>
      <c r="B84">
        <v>41800</v>
      </c>
    </row>
    <row r="85" spans="1:9">
      <c r="A85" s="6" t="s">
        <v>32</v>
      </c>
      <c r="B85">
        <v>1815300</v>
      </c>
    </row>
    <row r="86" spans="1:9">
      <c r="A86" s="6" t="s">
        <v>45</v>
      </c>
      <c r="B86">
        <v>873300</v>
      </c>
    </row>
    <row r="87" spans="1:9">
      <c r="A87" s="6" t="s">
        <v>37</v>
      </c>
      <c r="B87">
        <v>685150</v>
      </c>
    </row>
    <row r="88" spans="1:9">
      <c r="A88" s="6" t="s">
        <v>26</v>
      </c>
      <c r="B88">
        <v>2708750</v>
      </c>
    </row>
    <row r="89" spans="1:9">
      <c r="A89" s="6" t="s">
        <v>290</v>
      </c>
      <c r="B89">
        <v>6124300</v>
      </c>
    </row>
    <row r="95" spans="1:9">
      <c r="I95" s="13">
        <v>7</v>
      </c>
    </row>
    <row r="96" spans="1:9">
      <c r="A96" s="10" t="s">
        <v>301</v>
      </c>
      <c r="B96" s="10"/>
      <c r="C96" s="10"/>
    </row>
    <row r="97" spans="1:9">
      <c r="A97" s="5" t="s">
        <v>289</v>
      </c>
      <c r="B97" t="s">
        <v>300</v>
      </c>
    </row>
    <row r="98" spans="1:9">
      <c r="A98" s="6">
        <v>0</v>
      </c>
      <c r="B98" s="7">
        <v>46828.571428571428</v>
      </c>
    </row>
    <row r="99" spans="1:9">
      <c r="A99" s="6">
        <v>1</v>
      </c>
      <c r="B99" s="7">
        <v>49723.076923076922</v>
      </c>
    </row>
    <row r="100" spans="1:9">
      <c r="A100" s="6">
        <v>2</v>
      </c>
      <c r="B100" s="7">
        <v>53096.875</v>
      </c>
    </row>
    <row r="101" spans="1:9">
      <c r="A101" s="6">
        <v>3</v>
      </c>
      <c r="B101" s="7">
        <v>55468.75</v>
      </c>
    </row>
    <row r="102" spans="1:9">
      <c r="A102" s="6">
        <v>4</v>
      </c>
      <c r="B102" s="7">
        <v>59310.714285714283</v>
      </c>
    </row>
    <row r="103" spans="1:9">
      <c r="A103" s="6">
        <v>5</v>
      </c>
      <c r="B103" s="7">
        <v>68896.153846153844</v>
      </c>
    </row>
    <row r="104" spans="1:9">
      <c r="A104" s="6">
        <v>6</v>
      </c>
      <c r="B104" s="7">
        <v>75200</v>
      </c>
    </row>
    <row r="105" spans="1:9">
      <c r="A105" s="6">
        <v>7</v>
      </c>
      <c r="B105" s="7">
        <v>88681.25</v>
      </c>
    </row>
    <row r="106" spans="1:9">
      <c r="A106" s="6" t="s">
        <v>290</v>
      </c>
      <c r="B106">
        <v>61243</v>
      </c>
    </row>
    <row r="110" spans="1:9">
      <c r="I110" s="13">
        <v>8</v>
      </c>
    </row>
    <row r="158" spans="1:2">
      <c r="A158" t="s">
        <v>301</v>
      </c>
    </row>
    <row r="159" spans="1:2">
      <c r="A159" s="5" t="s">
        <v>289</v>
      </c>
      <c r="B159" t="s">
        <v>300</v>
      </c>
    </row>
    <row r="160" spans="1:2">
      <c r="A160" s="6">
        <v>0</v>
      </c>
      <c r="B160">
        <v>46828.571428571428</v>
      </c>
    </row>
    <row r="161" spans="1:2">
      <c r="A161" s="6">
        <v>1</v>
      </c>
      <c r="B161">
        <v>49723.076923076922</v>
      </c>
    </row>
    <row r="162" spans="1:2">
      <c r="A162" s="6">
        <v>2</v>
      </c>
      <c r="B162">
        <v>53096.875</v>
      </c>
    </row>
    <row r="163" spans="1:2">
      <c r="A163" s="6">
        <v>3</v>
      </c>
      <c r="B163">
        <v>55468.75</v>
      </c>
    </row>
    <row r="164" spans="1:2">
      <c r="A164" s="6">
        <v>4</v>
      </c>
      <c r="B164">
        <v>59310.714285714283</v>
      </c>
    </row>
    <row r="165" spans="1:2">
      <c r="A165" s="6">
        <v>5</v>
      </c>
      <c r="B165">
        <v>68896.153846153844</v>
      </c>
    </row>
    <row r="166" spans="1:2">
      <c r="A166" s="6">
        <v>6</v>
      </c>
      <c r="B166">
        <v>75200</v>
      </c>
    </row>
    <row r="167" spans="1:2">
      <c r="A167" s="6">
        <v>7</v>
      </c>
      <c r="B167">
        <v>88681.25</v>
      </c>
    </row>
    <row r="168" spans="1:2">
      <c r="A168" s="6" t="s">
        <v>290</v>
      </c>
      <c r="B168">
        <v>61243</v>
      </c>
    </row>
  </sheetData>
  <mergeCells count="11">
    <mergeCell ref="T2:W2"/>
    <mergeCell ref="F1:L1"/>
    <mergeCell ref="A69:B69"/>
    <mergeCell ref="A82:B82"/>
    <mergeCell ref="O2:P2"/>
    <mergeCell ref="F4:L4"/>
    <mergeCell ref="A2:B2"/>
    <mergeCell ref="O3:P3"/>
    <mergeCell ref="A3:C3"/>
    <mergeCell ref="A17:B17"/>
    <mergeCell ref="A31:B31"/>
  </mergeCells>
  <pageMargins left="0.7" right="0.7" top="0.75" bottom="0.75" header="0.3" footer="0.3"/>
  <drawing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E21E-09A8-435A-8E97-0DC95A604EFE}">
  <dimension ref="A1"/>
  <sheetViews>
    <sheetView tabSelected="1" topLeftCell="A7" zoomScaleNormal="100" workbookViewId="0">
      <selection sqref="A1:XFD1048576"/>
    </sheetView>
  </sheetViews>
  <sheetFormatPr defaultRowHeight="14.4"/>
  <cols>
    <col min="1" max="16384" width="8.88671875" style="15"/>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Data </vt:lpstr>
      <vt:lpstr>Pivot Tables And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shinde</dc:creator>
  <cp:lastModifiedBy>sagar shinde</cp:lastModifiedBy>
  <dcterms:created xsi:type="dcterms:W3CDTF">2026-09-24T09:57:04Z</dcterms:created>
  <dcterms:modified xsi:type="dcterms:W3CDTF">2026-10-10T18:48:44Z</dcterms:modified>
</cp:coreProperties>
</file>